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axle for damage" sheetId="1" r:id="rId4"/>
    <sheet state="visible" name="fatigue damage" sheetId="2" r:id="rId5"/>
  </sheets>
  <definedNames/>
  <calcPr/>
</workbook>
</file>

<file path=xl/sharedStrings.xml><?xml version="1.0" encoding="utf-8"?>
<sst xmlns="http://schemas.openxmlformats.org/spreadsheetml/2006/main" count="352" uniqueCount="110">
  <si>
    <t xml:space="preserve">Design life </t>
  </si>
  <si>
    <t xml:space="preserve">years </t>
  </si>
  <si>
    <t xml:space="preserve">Rate </t>
  </si>
  <si>
    <t>One way traffic</t>
  </si>
  <si>
    <t>CVPD</t>
  </si>
  <si>
    <t>Total Two - way traffic</t>
  </si>
  <si>
    <t>Step - 1</t>
  </si>
  <si>
    <t>Design Traffic</t>
  </si>
  <si>
    <t>CV</t>
  </si>
  <si>
    <t>Average number of axles for each commercial vehicles</t>
  </si>
  <si>
    <t>Total Two - way axle</t>
  </si>
  <si>
    <t>sa</t>
  </si>
  <si>
    <t>Number of Axle in predominant direction</t>
  </si>
  <si>
    <t xml:space="preserve">The adjustment for lateral placement of axle </t>
  </si>
  <si>
    <t>Adjusting for lateral placement of axle</t>
  </si>
  <si>
    <t>Percentage traffic at night</t>
  </si>
  <si>
    <t>Percentage traffic at day time</t>
  </si>
  <si>
    <t xml:space="preserve">Step 2 </t>
  </si>
  <si>
    <t>Night time(12 Hours) Design Axle</t>
  </si>
  <si>
    <t>Day time (12 huors) design Axle</t>
  </si>
  <si>
    <t>Day time (6 hours)</t>
  </si>
  <si>
    <t xml:space="preserve">Night time(6 Hours) </t>
  </si>
  <si>
    <t xml:space="preserve">Step 3 </t>
  </si>
  <si>
    <t>Day, For BUC , Design axle</t>
  </si>
  <si>
    <t>Percentage of commercial vehicles spacing between front axle and rear axle less than 4.5</t>
  </si>
  <si>
    <t>Night , Design Axle at night time</t>
  </si>
  <si>
    <t>Axle</t>
  </si>
  <si>
    <t>Proportion</t>
  </si>
  <si>
    <t>No of axle for Buc</t>
  </si>
  <si>
    <t>No of axle for TDC</t>
  </si>
  <si>
    <t>Front Single Steering Axle</t>
  </si>
  <si>
    <t>Rear Single axle</t>
  </si>
  <si>
    <t>Rear Tandem Axle</t>
  </si>
  <si>
    <t>Rear Tridem Axle</t>
  </si>
  <si>
    <t>Day time traffic for BUC</t>
  </si>
  <si>
    <t>Night time traffic for TDC</t>
  </si>
  <si>
    <t>Effective CBR of compacted subgrade</t>
  </si>
  <si>
    <t>%</t>
  </si>
  <si>
    <t>No of axles (day)</t>
  </si>
  <si>
    <t>No. of axles (night)</t>
  </si>
  <si>
    <t>Modulus of subgrade reaction</t>
  </si>
  <si>
    <t>Mpa/m</t>
  </si>
  <si>
    <t>Effective K for 150mm DLC</t>
  </si>
  <si>
    <t>Elastic modulus of concrete(  E )</t>
  </si>
  <si>
    <t>Mpa</t>
  </si>
  <si>
    <t xml:space="preserve">Poisson's Ratio of concrete </t>
  </si>
  <si>
    <t>Unit weight of concrete (gamma)</t>
  </si>
  <si>
    <t>KN/m^3</t>
  </si>
  <si>
    <t>Max day-time temp ( for WB)</t>
  </si>
  <si>
    <t>Night time temp</t>
  </si>
  <si>
    <t>Trial thickness of slab (h)</t>
  </si>
  <si>
    <t>m</t>
  </si>
  <si>
    <t>Radius of relative stiffness (l)</t>
  </si>
  <si>
    <t>felxural Strength</t>
  </si>
  <si>
    <t>Betta</t>
  </si>
  <si>
    <t>for BUC</t>
  </si>
  <si>
    <t xml:space="preserve">single axle </t>
  </si>
  <si>
    <t>Axle load class(KN)</t>
  </si>
  <si>
    <t>mean load (KN)</t>
  </si>
  <si>
    <t>frequency(% single axle)</t>
  </si>
  <si>
    <t xml:space="preserve">Expected Repetitions </t>
  </si>
  <si>
    <t>Felxural Stress</t>
  </si>
  <si>
    <t>Stress Ratio</t>
  </si>
  <si>
    <t>Allowable repetations</t>
  </si>
  <si>
    <t>Fatigue Damage</t>
  </si>
  <si>
    <t>185-195</t>
  </si>
  <si>
    <t>175-185</t>
  </si>
  <si>
    <t>165-175</t>
  </si>
  <si>
    <t>155-165</t>
  </si>
  <si>
    <t>145-155</t>
  </si>
  <si>
    <t>135-145</t>
  </si>
  <si>
    <t>125-135</t>
  </si>
  <si>
    <t>115-125</t>
  </si>
  <si>
    <t>105-115</t>
  </si>
  <si>
    <t>95-105</t>
  </si>
  <si>
    <t>85-95</t>
  </si>
  <si>
    <t>&lt;85</t>
  </si>
  <si>
    <t>Expected Repititions</t>
  </si>
  <si>
    <t xml:space="preserve">Fatigue Damage from single axles = </t>
  </si>
  <si>
    <t>Tandem Axle</t>
  </si>
  <si>
    <t>380-400</t>
  </si>
  <si>
    <t>360-380</t>
  </si>
  <si>
    <t>340-360</t>
  </si>
  <si>
    <t>320-340</t>
  </si>
  <si>
    <t>300-320</t>
  </si>
  <si>
    <t>280-300</t>
  </si>
  <si>
    <t>260-280</t>
  </si>
  <si>
    <t>240-260</t>
  </si>
  <si>
    <t>220-240</t>
  </si>
  <si>
    <t>200-220</t>
  </si>
  <si>
    <t>180-200</t>
  </si>
  <si>
    <t>&lt; 180</t>
  </si>
  <si>
    <t xml:space="preserve">Fatigue Damage from tandem axles = </t>
  </si>
  <si>
    <t>Total Fatigue damage</t>
  </si>
  <si>
    <t>for TDC</t>
  </si>
  <si>
    <t>Tridem Axle</t>
  </si>
  <si>
    <t>530-560</t>
  </si>
  <si>
    <t>500-530</t>
  </si>
  <si>
    <t>470-500</t>
  </si>
  <si>
    <t>440-470</t>
  </si>
  <si>
    <t>410-440</t>
  </si>
  <si>
    <t>380-410</t>
  </si>
  <si>
    <t>350-380</t>
  </si>
  <si>
    <t>320-350</t>
  </si>
  <si>
    <t>290-320</t>
  </si>
  <si>
    <t>260-290</t>
  </si>
  <si>
    <t>230-260</t>
  </si>
  <si>
    <t>&lt; 230</t>
  </si>
  <si>
    <t xml:space="preserve">Fatigue Damage from tridem axles = </t>
  </si>
  <si>
    <t>Total Fatigue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</si>
</sst>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0"/>
  </numFmts>
  <fonts count="3">
    <font>
      <sz val="11.0"/>
      <color/>
      <name val="Arial"/>
      <scheme val="minor"/>
    </font>
    <font>
      <sz val="11.0"/>
      <color/>
      <name val="Aptos Narrow"/>
    </font>
    <font>
      <b/>
      <sz val="11.0"/>
      <color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6C6AC"/>
        <bgColor rgb="FFF6C6AC"/>
      </patternFill>
    </fill>
    <fill>
      <patternFill patternType="solid">
        <fgColor rgb="FF8ED873"/>
        <bgColor rgb="FF8ED873"/>
      </patternFill>
    </fill>
    <fill>
      <patternFill patternType="solid">
        <fgColor rgb="FF4D94D8"/>
        <bgColor rgb="FF4D94D8"/>
      </patternFill>
    </fill>
    <fill>
      <patternFill patternType="solid">
        <fgColor rgb="FFC1E4F5"/>
        <bgColor rgb="FFC1E4F5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0" xfId="0" applyBorder="1" applyFill="1" applyFont="1" applyNumberFormat="1"/>
    <xf borderId="1" fillId="3" fontId="1" numFmtId="0" xfId="0" applyBorder="1" applyFill="1" applyFont="1"/>
    <xf borderId="1" fillId="4" fontId="2" numFmtId="0" xfId="0" applyBorder="1" applyFill="1" applyFont="1"/>
    <xf borderId="1" fillId="4" fontId="1" numFmtId="1" xfId="0" applyBorder="1" applyFill="1" applyFont="1" applyNumberFormat="1"/>
    <xf borderId="1" fillId="4" fontId="1" numFmtId="0" xfId="0" applyBorder="1" applyFill="1" applyFont="1"/>
    <xf borderId="0" fillId="0" fontId="1" numFmtId="2" xfId="0" applyFont="1" applyNumberFormat="1"/>
    <xf borderId="0" fillId="0" fontId="1" numFmtId="1" xfId="0" applyFont="1" applyNumberFormat="1"/>
    <xf borderId="2" fillId="5" fontId="1" numFmtId="0" xfId="0" applyBorder="1" applyFill="1" applyFont="1"/>
    <xf borderId="2" fillId="6" fontId="1" numFmtId="0" xfId="0" applyBorder="1" applyFill="1" applyFont="1"/>
    <xf borderId="2" fillId="6" fontId="1" numFmtId="9" xfId="0" applyBorder="1" applyFill="1" applyFont="1" applyNumberForma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2" fillId="0" fontId="1" numFmtId="0" xfId="0" applyBorder="1" applyFont="1"/>
    <xf borderId="2" fillId="0" fontId="1" numFmtId="10" xfId="0" applyBorder="1" applyFont="1" applyNumberFormat="1"/>
    <xf borderId="7" fillId="0" fontId="1" numFmtId="0" xfId="0" applyBorder="1" applyFont="1"/>
    <xf borderId="6" fillId="3" fontId="1" numFmtId="0" xfId="0" applyBorder="1" applyFill="1" applyFont="1"/>
    <xf borderId="2" fillId="0" fontId="2" numFmtId="0" xfId="0" applyBorder="1" applyFont="1"/>
    <xf borderId="2" fillId="0" fontId="1" numFmtId="1" xfId="0" applyBorder="1" applyFont="1" applyNumberFormat="1"/>
    <xf borderId="2" fillId="0" fontId="1" numFmtId="2" xfId="0" applyBorder="1" applyFont="1" applyNumberFormat="1"/>
    <xf borderId="8" fillId="0" fontId="1" numFmtId="0" xfId="0" applyBorder="1" applyFont="1"/>
    <xf borderId="9" fillId="0" fontId="1" numFmtId="0" xfId="0" applyBorder="1" applyFont="1"/>
    <xf borderId="9" fillId="0" fontId="1" numFmtId="1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1" fillId="0" fontId="1" numFmtId="1" xfId="0" applyBorder="1" applyFont="1" applyNumberFormat="1"/>
    <xf borderId="4" fillId="0" fontId="1" numFmtId="2" xfId="0" applyBorder="1" applyFont="1" applyNumberFormat="1"/>
    <xf borderId="3" fillId="3" fontId="1" numFmtId="0" xfId="0" applyBorder="1" applyFill="1" applyFont="1"/>
    <xf borderId="4" fillId="0" fontId="1" numFmtId="1" xfId="0" applyBorder="1" applyFont="1" applyNumberForma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0" xfId="0" applyFont="1" applyNumberFormat="1"/>
    <xf borderId="0" fillId="0" fontId="2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</xdr:row>
      <xdr:rowOff>9525</xdr:rowOff>
    </xdr:from>
    <xdr:ext cx="6772275" cy="433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5.43"/>
    <col customWidth="1" min="3" max="3" width="13.57"/>
    <col customWidth="1" min="4" max="4" width="15.0"/>
    <col customWidth="1" min="5" max="5" width="15.14"/>
    <col customWidth="1" min="6" max="18" width="8.71"/>
  </cols>
  <sheetData>
    <row r="1" ht="14.25" customHeight="1">
      <c r="B1" s="1" t="s">
        <v>0</v>
      </c>
      <c r="C1" s="1">
        <v>30.0</v>
      </c>
      <c r="D1" s="1" t="s">
        <v>1</v>
      </c>
    </row>
    <row r="2" ht="14.25" customHeight="1">
      <c r="B2" s="1" t="s">
        <v>2</v>
      </c>
      <c r="C2" s="2">
        <v>0.075</v>
      </c>
      <c r="D2" s="1"/>
    </row>
    <row r="3" ht="14.25" customHeight="1">
      <c r="B3" s="1" t="s">
        <v>3</v>
      </c>
      <c r="C3" s="1">
        <v>3000.0</v>
      </c>
      <c r="D3" s="1" t="s">
        <v>4</v>
      </c>
    </row>
    <row r="4" ht="14.25" customHeight="1">
      <c r="B4" s="1" t="s">
        <v>5</v>
      </c>
      <c r="C4" s="1" t="str">
        <f> 2*C3</f>
        <v>6000</v>
      </c>
      <c r="D4" s="1" t="s">
        <v>4</v>
      </c>
    </row>
    <row r="5" ht="14.25" customHeight="1">
      <c r="A5" s="3" t="s">
        <v>6</v>
      </c>
      <c r="B5" s="4" t="s">
        <v>7</v>
      </c>
      <c r="C5" s="5" t="str">
        <f> 365*(((1+C2)^C1 - 1)/C2)*C4</f>
        <v>226444692</v>
      </c>
      <c r="D5" s="6" t="s">
        <v>8</v>
      </c>
    </row>
    <row r="6" ht="14.25" customHeight="1">
      <c r="B6" t="s">
        <v>9</v>
      </c>
      <c r="C6" s="7">
        <v>2.45</v>
      </c>
    </row>
    <row r="7" ht="14.25" customHeight="1">
      <c r="B7" t="s">
        <v>10</v>
      </c>
      <c r="C7" s="8" t="str">
        <f> C5*C6</f>
        <v>554789494</v>
      </c>
      <c r="D7" t="s">
        <v>11</v>
      </c>
    </row>
    <row r="8" ht="14.25" customHeight="1">
      <c r="B8" t="s">
        <v>12</v>
      </c>
      <c r="C8" s="8" t="str">
        <f> 0.55*C7</f>
        <v>305134222</v>
      </c>
      <c r="D8" t="s">
        <v>11</v>
      </c>
    </row>
    <row r="9" ht="14.25" customHeight="1">
      <c r="B9" t="s">
        <v>13</v>
      </c>
      <c r="C9" s="7">
        <v>0.25</v>
      </c>
    </row>
    <row r="10" ht="14.25" customHeight="1">
      <c r="B10" t="s">
        <v>14</v>
      </c>
      <c r="C10" s="8" t="str">
        <f> C9*C8</f>
        <v>76283555</v>
      </c>
      <c r="D10" t="s">
        <v>11</v>
      </c>
    </row>
    <row r="11" ht="14.25" customHeight="1">
      <c r="C11" s="8"/>
    </row>
    <row r="12" ht="14.25" customHeight="1">
      <c r="B12" t="s">
        <v>15</v>
      </c>
      <c r="C12" s="7">
        <v>0.55</v>
      </c>
    </row>
    <row r="13" ht="14.25" customHeight="1">
      <c r="B13" t="s">
        <v>16</v>
      </c>
      <c r="C13">
        <v>0.45</v>
      </c>
    </row>
    <row r="14" ht="14.25" customHeight="1">
      <c r="A14" s="3" t="s">
        <v>17</v>
      </c>
      <c r="B14" t="s">
        <v>18</v>
      </c>
      <c r="C14" s="8" t="str">
        <f> C12*C10</f>
        <v>41955956</v>
      </c>
      <c r="D14" t="s">
        <v>11</v>
      </c>
    </row>
    <row r="15" ht="14.25" customHeight="1">
      <c r="B15" t="s">
        <v>19</v>
      </c>
      <c r="C15" s="8" t="str">
        <f> C13*C10</f>
        <v>34327600</v>
      </c>
      <c r="D15" t="s">
        <v>11</v>
      </c>
    </row>
    <row r="16" ht="14.25" customHeight="1">
      <c r="B16" t="s">
        <v>20</v>
      </c>
      <c r="C16" s="8" t="str">
        <f> 0.5*C15</f>
        <v>17163800</v>
      </c>
      <c r="D16" t="s">
        <v>11</v>
      </c>
    </row>
    <row r="17" ht="14.25" customHeight="1">
      <c r="B17" t="s">
        <v>21</v>
      </c>
      <c r="C17" s="8" t="str">
        <f> 0.5*C14</f>
        <v>20977978</v>
      </c>
      <c r="D17" t="s">
        <v>11</v>
      </c>
    </row>
    <row r="18" ht="14.25" customHeight="1"/>
    <row r="19" ht="14.25" customHeight="1">
      <c r="A19" s="3" t="s">
        <v>22</v>
      </c>
      <c r="B19" t="s">
        <v>23</v>
      </c>
      <c r="C19" s="8" t="str">
        <f> C16</f>
        <v>17163800</v>
      </c>
      <c r="D19" t="s">
        <v>11</v>
      </c>
    </row>
    <row r="20" ht="14.25" customHeight="1">
      <c r="B20" t="s">
        <v>24</v>
      </c>
      <c r="C20" s="7">
        <v>0.45</v>
      </c>
    </row>
    <row r="21" ht="14.25" customHeight="1">
      <c r="B21" t="s">
        <v>25</v>
      </c>
      <c r="C21" s="8" t="str">
        <f> C20*C17</f>
        <v>9440090</v>
      </c>
      <c r="D21" t="s">
        <v>11</v>
      </c>
    </row>
    <row r="22" ht="14.25" customHeight="1"/>
    <row r="23" ht="14.25" customHeight="1">
      <c r="B23" s="9" t="s">
        <v>26</v>
      </c>
      <c r="C23" s="9" t="s">
        <v>27</v>
      </c>
      <c r="D23" t="s">
        <v>28</v>
      </c>
      <c r="E23" t="s">
        <v>29</v>
      </c>
    </row>
    <row r="24" ht="14.25" customHeight="1">
      <c r="B24" s="10" t="s">
        <v>30</v>
      </c>
      <c r="C24" s="11">
        <v>0.4</v>
      </c>
      <c r="D24" s="8" t="str">
        <f t="shared" ref="D24:D27" si="1"> $C$19*C24</f>
        <v>6865520</v>
      </c>
      <c r="E24" s="8" t="str">
        <f t="shared" ref="E24:E27" si="2"> $C$21*C24</f>
        <v>3776036</v>
      </c>
    </row>
    <row r="25" ht="14.25" customHeight="1">
      <c r="B25" s="10" t="s">
        <v>31</v>
      </c>
      <c r="C25" s="11">
        <v>0.2</v>
      </c>
      <c r="D25" s="8" t="str">
        <f t="shared" si="1"/>
        <v>3432760</v>
      </c>
      <c r="E25" s="8" t="str">
        <f t="shared" si="2"/>
        <v>1888018</v>
      </c>
    </row>
    <row r="26" ht="14.25" customHeight="1">
      <c r="B26" s="10" t="s">
        <v>32</v>
      </c>
      <c r="C26" s="11">
        <v>0.2</v>
      </c>
      <c r="D26" s="8" t="str">
        <f t="shared" si="1"/>
        <v>3432760</v>
      </c>
      <c r="E26" s="8" t="str">
        <f t="shared" si="2"/>
        <v>1888018</v>
      </c>
    </row>
    <row r="27" ht="14.25" customHeight="1">
      <c r="B27" s="10" t="s">
        <v>33</v>
      </c>
      <c r="C27" s="11">
        <v>0.2</v>
      </c>
      <c r="D27" s="8" t="str">
        <f t="shared" si="1"/>
        <v>3432760</v>
      </c>
      <c r="E27" s="8" t="str">
        <f t="shared" si="2"/>
        <v>1888018</v>
      </c>
    </row>
    <row r="28" ht="14.25" customHeight="1"/>
    <row r="29" ht="14.25" customHeight="1">
      <c r="A29" s="12"/>
      <c r="B29" s="13" t="s">
        <v>0</v>
      </c>
      <c r="C29" s="13">
        <v>30.0</v>
      </c>
      <c r="D29" s="14" t="s">
        <v>1</v>
      </c>
    </row>
    <row r="30" ht="14.25" customHeight="1">
      <c r="A30" s="15"/>
      <c r="B30" s="16" t="s">
        <v>2</v>
      </c>
      <c r="C30" s="17">
        <v>0.075</v>
      </c>
      <c r="D30" s="18"/>
    </row>
    <row r="31" ht="14.25" customHeight="1">
      <c r="A31" s="15"/>
      <c r="B31" s="16" t="s">
        <v>3</v>
      </c>
      <c r="C31" s="16">
        <v>2810.0</v>
      </c>
      <c r="D31" s="18" t="s">
        <v>4</v>
      </c>
    </row>
    <row r="32" ht="14.25" customHeight="1">
      <c r="A32" s="15"/>
      <c r="B32" s="16" t="s">
        <v>5</v>
      </c>
      <c r="C32" s="16" t="str">
        <f> 2*C31</f>
        <v>5620</v>
      </c>
      <c r="D32" s="18" t="s">
        <v>4</v>
      </c>
    </row>
    <row r="33" ht="14.25" customHeight="1">
      <c r="A33" s="19" t="s">
        <v>6</v>
      </c>
      <c r="B33" s="20" t="s">
        <v>7</v>
      </c>
      <c r="C33" s="21" t="str">
        <f> 365*(((1+C30)^C29 - 1)/C30)*C32</f>
        <v>212103194</v>
      </c>
      <c r="D33" s="18" t="s">
        <v>8</v>
      </c>
    </row>
    <row r="34" ht="14.25" customHeight="1">
      <c r="A34" s="15"/>
      <c r="B34" s="16" t="s">
        <v>9</v>
      </c>
      <c r="C34" s="22">
        <v>2.45</v>
      </c>
      <c r="D34" s="18"/>
    </row>
    <row r="35" ht="14.25" customHeight="1">
      <c r="A35" s="15"/>
      <c r="B35" s="16" t="s">
        <v>10</v>
      </c>
      <c r="C35" s="21" t="str">
        <f> C33*C34</f>
        <v>519652826</v>
      </c>
      <c r="D35" s="18" t="s">
        <v>11</v>
      </c>
    </row>
    <row r="36" ht="14.25" customHeight="1">
      <c r="A36" s="15"/>
      <c r="B36" s="16" t="s">
        <v>12</v>
      </c>
      <c r="C36" s="21" t="str">
        <f> 0.55*C35</f>
        <v>285809054</v>
      </c>
      <c r="D36" s="18" t="s">
        <v>11</v>
      </c>
    </row>
    <row r="37" ht="14.25" customHeight="1">
      <c r="A37" s="15"/>
      <c r="B37" s="16" t="s">
        <v>13</v>
      </c>
      <c r="C37" s="22">
        <v>0.25</v>
      </c>
      <c r="D37" s="18"/>
    </row>
    <row r="38" ht="14.25" customHeight="1">
      <c r="A38" s="23"/>
      <c r="B38" s="24" t="s">
        <v>14</v>
      </c>
      <c r="C38" s="25" t="str">
        <f> C37*C36</f>
        <v>71452264</v>
      </c>
      <c r="D38" s="26" t="s">
        <v>11</v>
      </c>
    </row>
    <row r="39" ht="14.25" customHeight="1">
      <c r="A39" s="27"/>
      <c r="B39" s="27"/>
      <c r="C39" s="28"/>
      <c r="D39" s="27"/>
    </row>
    <row r="40" ht="14.25" customHeight="1">
      <c r="A40" s="12"/>
      <c r="B40" s="13" t="s">
        <v>15</v>
      </c>
      <c r="C40" s="29">
        <v>0.55</v>
      </c>
      <c r="D40" s="14"/>
    </row>
    <row r="41" ht="14.25" customHeight="1">
      <c r="A41" s="15"/>
      <c r="B41" s="16" t="s">
        <v>16</v>
      </c>
      <c r="C41" s="16">
        <v>0.45</v>
      </c>
      <c r="D41" s="18"/>
    </row>
    <row r="42" ht="14.25" customHeight="1">
      <c r="A42" s="19" t="s">
        <v>17</v>
      </c>
      <c r="B42" s="16" t="s">
        <v>18</v>
      </c>
      <c r="C42" s="21" t="str">
        <f> C40*C38</f>
        <v>39298745</v>
      </c>
      <c r="D42" s="18" t="s">
        <v>11</v>
      </c>
    </row>
    <row r="43" ht="14.25" customHeight="1">
      <c r="A43" s="15"/>
      <c r="B43" s="16" t="s">
        <v>19</v>
      </c>
      <c r="C43" s="21" t="str">
        <f> C41*C38</f>
        <v>32153519</v>
      </c>
      <c r="D43" s="18" t="s">
        <v>11</v>
      </c>
    </row>
    <row r="44" ht="14.25" customHeight="1">
      <c r="A44" s="15"/>
      <c r="B44" s="16" t="s">
        <v>20</v>
      </c>
      <c r="C44" s="21" t="str">
        <f> 0.5*C43</f>
        <v>16076759</v>
      </c>
      <c r="D44" s="18" t="s">
        <v>11</v>
      </c>
    </row>
    <row r="45" ht="14.25" customHeight="1">
      <c r="A45" s="23"/>
      <c r="B45" s="24" t="s">
        <v>21</v>
      </c>
      <c r="C45" s="25" t="str">
        <f> 0.5*C42</f>
        <v>19649372</v>
      </c>
      <c r="D45" s="26" t="s">
        <v>11</v>
      </c>
    </row>
    <row r="46" ht="14.25" customHeight="1">
      <c r="A46" s="27"/>
      <c r="B46" s="27"/>
      <c r="C46" s="27"/>
      <c r="D46" s="27"/>
    </row>
    <row r="47" ht="14.25" customHeight="1">
      <c r="A47" s="30" t="s">
        <v>22</v>
      </c>
      <c r="B47" s="13" t="s">
        <v>23</v>
      </c>
      <c r="C47" s="31" t="str">
        <f> C44</f>
        <v>16076759</v>
      </c>
      <c r="D47" s="14" t="s">
        <v>11</v>
      </c>
    </row>
    <row r="48" ht="14.25" customHeight="1">
      <c r="A48" s="15"/>
      <c r="B48" s="16" t="s">
        <v>24</v>
      </c>
      <c r="C48" s="22">
        <v>0.45</v>
      </c>
      <c r="D48" s="18"/>
    </row>
    <row r="49" ht="14.25" customHeight="1">
      <c r="A49" s="23"/>
      <c r="B49" s="24" t="s">
        <v>25</v>
      </c>
      <c r="C49" s="25" t="str">
        <f> C48*C45</f>
        <v>8842218</v>
      </c>
      <c r="D49" s="26" t="s">
        <v>11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3.14"/>
    <col customWidth="1" min="3" max="3" width="14.14"/>
    <col customWidth="1" min="4" max="4" width="13.57"/>
    <col customWidth="1" min="5" max="5" width="9.43"/>
    <col customWidth="1" min="6" max="6" width="14.29"/>
    <col customWidth="1" min="7" max="7" width="10.43"/>
    <col customWidth="1" min="8" max="14" width="8.71"/>
    <col customWidth="1" min="15" max="15" width="4.86"/>
    <col customWidth="1" min="16" max="16" width="23.14"/>
    <col customWidth="1" min="17" max="18" width="8.71"/>
    <col customWidth="1" min="19" max="19" width="15.86"/>
    <col customWidth="1" min="20" max="20" width="10.57"/>
    <col customWidth="1" min="21" max="21" width="14.29"/>
    <col customWidth="1" min="22" max="25" width="8.71"/>
  </cols>
  <sheetData>
    <row r="1" ht="14.25" customHeight="1">
      <c r="A1" s="32" t="s">
        <v>34</v>
      </c>
      <c r="B1">
        <v>1.71638E7</v>
      </c>
      <c r="P1" s="32" t="s">
        <v>34</v>
      </c>
      <c r="Q1">
        <v>1.71638E7</v>
      </c>
    </row>
    <row r="2" ht="15.0" customHeight="1">
      <c r="A2" s="32" t="s">
        <v>35</v>
      </c>
      <c r="B2">
        <v>9440090.0</v>
      </c>
      <c r="P2" s="32" t="s">
        <v>35</v>
      </c>
      <c r="Q2">
        <v>9440090.0</v>
      </c>
    </row>
    <row r="3" ht="17.25" customHeight="1">
      <c r="A3" s="32" t="s">
        <v>36</v>
      </c>
      <c r="B3" s="33">
        <v>8.0</v>
      </c>
      <c r="C3" t="s">
        <v>37</v>
      </c>
      <c r="D3" s="32" t="s">
        <v>26</v>
      </c>
      <c r="E3" s="33" t="s">
        <v>27</v>
      </c>
      <c r="F3" s="33" t="s">
        <v>38</v>
      </c>
      <c r="G3" s="33" t="s">
        <v>39</v>
      </c>
      <c r="P3" s="32" t="s">
        <v>36</v>
      </c>
      <c r="Q3" s="33">
        <v>8.0</v>
      </c>
      <c r="R3" t="s">
        <v>37</v>
      </c>
      <c r="S3" s="32" t="s">
        <v>26</v>
      </c>
      <c r="T3" s="33" t="s">
        <v>27</v>
      </c>
      <c r="U3" s="33" t="s">
        <v>38</v>
      </c>
      <c r="V3" s="33" t="s">
        <v>39</v>
      </c>
    </row>
    <row r="4" ht="28.5" customHeight="1">
      <c r="A4" s="32" t="s">
        <v>40</v>
      </c>
      <c r="B4">
        <v>50.3</v>
      </c>
      <c r="C4" t="s">
        <v>41</v>
      </c>
      <c r="D4" s="32" t="s">
        <v>30</v>
      </c>
      <c r="E4" s="34">
        <v>0.39</v>
      </c>
      <c r="F4" t="str">
        <f t="shared" ref="F4:F7" si="1"> $B$1*E4</f>
        <v>6693882</v>
      </c>
      <c r="G4" s="8" t="str">
        <f t="shared" ref="G4:G7" si="2">$B$2*E4</f>
        <v>3681635</v>
      </c>
      <c r="P4" s="32" t="s">
        <v>40</v>
      </c>
      <c r="Q4">
        <v>50.3</v>
      </c>
      <c r="R4" t="s">
        <v>41</v>
      </c>
      <c r="S4" s="32" t="s">
        <v>30</v>
      </c>
      <c r="T4" s="34">
        <v>0.39</v>
      </c>
      <c r="U4" t="str">
        <f t="shared" ref="U4:U7" si="3"> $B$1*T4</f>
        <v>6693882</v>
      </c>
      <c r="V4" s="8" t="str">
        <f t="shared" ref="V4:V7" si="4">$B$2*T4</f>
        <v>3681635</v>
      </c>
    </row>
    <row r="5" ht="30.0" customHeight="1">
      <c r="A5" s="32" t="s">
        <v>42</v>
      </c>
      <c r="B5">
        <v>300.0</v>
      </c>
      <c r="C5" t="s">
        <v>41</v>
      </c>
      <c r="D5" s="32" t="s">
        <v>31</v>
      </c>
      <c r="E5" s="34">
        <v>0.17</v>
      </c>
      <c r="F5" t="str">
        <f t="shared" si="1"/>
        <v>2917846</v>
      </c>
      <c r="G5" s="8" t="str">
        <f t="shared" si="2"/>
        <v>1604815</v>
      </c>
      <c r="P5" s="32" t="s">
        <v>42</v>
      </c>
      <c r="Q5">
        <v>300.0</v>
      </c>
      <c r="R5" t="s">
        <v>41</v>
      </c>
      <c r="S5" s="32" t="s">
        <v>31</v>
      </c>
      <c r="T5" s="34">
        <v>0.17</v>
      </c>
      <c r="U5" t="str">
        <f t="shared" si="3"/>
        <v>2917846</v>
      </c>
      <c r="V5" s="8" t="str">
        <f t="shared" si="4"/>
        <v>1604815</v>
      </c>
    </row>
    <row r="6" ht="33.0" customHeight="1">
      <c r="A6" s="32" t="s">
        <v>43</v>
      </c>
      <c r="B6">
        <v>30000.0</v>
      </c>
      <c r="C6" t="s">
        <v>44</v>
      </c>
      <c r="D6" s="32" t="s">
        <v>32</v>
      </c>
      <c r="E6" s="34">
        <v>0.21</v>
      </c>
      <c r="F6" t="str">
        <f t="shared" si="1"/>
        <v>3604398</v>
      </c>
      <c r="G6" s="8" t="str">
        <f t="shared" si="2"/>
        <v>1982419</v>
      </c>
      <c r="P6" s="32" t="s">
        <v>43</v>
      </c>
      <c r="Q6">
        <v>30000.0</v>
      </c>
      <c r="R6" t="s">
        <v>44</v>
      </c>
      <c r="S6" s="32" t="s">
        <v>32</v>
      </c>
      <c r="T6" s="34">
        <v>0.21</v>
      </c>
      <c r="U6" t="str">
        <f t="shared" si="3"/>
        <v>3604398</v>
      </c>
      <c r="V6" s="8" t="str">
        <f t="shared" si="4"/>
        <v>1982419</v>
      </c>
    </row>
    <row r="7" ht="32.25" customHeight="1">
      <c r="A7" s="32" t="s">
        <v>45</v>
      </c>
      <c r="B7">
        <v>0.15</v>
      </c>
      <c r="D7" s="32" t="s">
        <v>33</v>
      </c>
      <c r="E7" s="34">
        <v>0.23</v>
      </c>
      <c r="F7" t="str">
        <f t="shared" si="1"/>
        <v>3947674</v>
      </c>
      <c r="G7" s="8" t="str">
        <f t="shared" si="2"/>
        <v>2171221</v>
      </c>
      <c r="P7" s="32" t="s">
        <v>45</v>
      </c>
      <c r="Q7">
        <v>0.15</v>
      </c>
      <c r="S7" s="32" t="s">
        <v>33</v>
      </c>
      <c r="T7" s="34">
        <v>0.23</v>
      </c>
      <c r="U7" t="str">
        <f t="shared" si="3"/>
        <v>3947674</v>
      </c>
      <c r="V7" s="8" t="str">
        <f t="shared" si="4"/>
        <v>2171221</v>
      </c>
    </row>
    <row r="8" ht="30.0" customHeight="1">
      <c r="A8" s="32" t="s">
        <v>46</v>
      </c>
      <c r="B8">
        <v>24.0</v>
      </c>
      <c r="C8" t="s">
        <v>47</v>
      </c>
      <c r="P8" s="32" t="s">
        <v>46</v>
      </c>
      <c r="Q8">
        <v>24.0</v>
      </c>
      <c r="R8" t="s">
        <v>47</v>
      </c>
    </row>
    <row r="9" ht="27.0" customHeight="1">
      <c r="A9" s="32" t="s">
        <v>48</v>
      </c>
      <c r="B9">
        <v>16.8</v>
      </c>
      <c r="P9" s="32" t="s">
        <v>48</v>
      </c>
      <c r="Q9">
        <v>16.8</v>
      </c>
    </row>
    <row r="10" ht="15.0" customHeight="1">
      <c r="A10" s="32" t="s">
        <v>49</v>
      </c>
      <c r="B10" s="35" t="str">
        <f> B9/2 + 5</f>
        <v>13.4</v>
      </c>
      <c r="P10" s="32" t="s">
        <v>49</v>
      </c>
      <c r="Q10" s="35" t="str">
        <f> Q9/2 + 5</f>
        <v>13.4</v>
      </c>
    </row>
    <row r="11" ht="18.0" customHeight="1">
      <c r="A11" s="32" t="s">
        <v>50</v>
      </c>
      <c r="B11">
        <v>0.41</v>
      </c>
      <c r="C11" t="s">
        <v>51</v>
      </c>
      <c r="P11" s="32" t="s">
        <v>50</v>
      </c>
      <c r="Q11">
        <v>0.28</v>
      </c>
      <c r="R11" t="s">
        <v>51</v>
      </c>
    </row>
    <row r="12" ht="30.0" customHeight="1">
      <c r="A12" s="32" t="s">
        <v>52</v>
      </c>
      <c r="B12" s="36" t="str">
        <f> (B6*(B11)^3/(12*B5*(1-(B7)^2)))^0.25</f>
        <v>0.875515</v>
      </c>
      <c r="C12" t="s">
        <v>51</v>
      </c>
      <c r="P12" s="32" t="s">
        <v>52</v>
      </c>
      <c r="Q12" s="36" t="str">
        <f> (Q6*(Q11)^3/(12*Q5*(1-(Q7)^2)))^0.25</f>
        <v>0.657725</v>
      </c>
      <c r="R12" t="s">
        <v>51</v>
      </c>
    </row>
    <row r="13" ht="24.0" customHeight="1">
      <c r="A13" s="32" t="s">
        <v>53</v>
      </c>
      <c r="B13">
        <v>4.9</v>
      </c>
      <c r="C13" t="s">
        <v>44</v>
      </c>
      <c r="P13" s="32" t="s">
        <v>53</v>
      </c>
      <c r="Q13">
        <v>4.5</v>
      </c>
      <c r="R13" t="s">
        <v>44</v>
      </c>
    </row>
    <row r="14" ht="14.25" customHeight="1">
      <c r="A14" s="32" t="s">
        <v>54</v>
      </c>
      <c r="B14">
        <v>0.66</v>
      </c>
      <c r="P14" s="32" t="s">
        <v>54</v>
      </c>
      <c r="Q14">
        <v>0.66</v>
      </c>
    </row>
    <row r="15" ht="14.25" customHeight="1">
      <c r="A15" s="32"/>
      <c r="P15" s="32"/>
    </row>
    <row r="16" ht="14.25" customHeight="1">
      <c r="A16" s="37" t="s">
        <v>55</v>
      </c>
      <c r="P16" s="37" t="s">
        <v>55</v>
      </c>
    </row>
    <row r="17" ht="14.25" customHeight="1">
      <c r="A17" s="38" t="s">
        <v>56</v>
      </c>
      <c r="P17" s="38" t="s">
        <v>56</v>
      </c>
    </row>
    <row r="18" ht="14.25" customHeight="1">
      <c r="A18" t="s">
        <v>57</v>
      </c>
      <c r="B18" t="s">
        <v>58</v>
      </c>
      <c r="C18" s="32" t="s">
        <v>59</v>
      </c>
      <c r="D18" s="32" t="s">
        <v>60</v>
      </c>
      <c r="E18" s="32" t="s">
        <v>61</v>
      </c>
      <c r="F18" s="32" t="s">
        <v>62</v>
      </c>
      <c r="G18" s="32" t="s">
        <v>63</v>
      </c>
      <c r="H18" s="32" t="s">
        <v>64</v>
      </c>
      <c r="P18" t="s">
        <v>57</v>
      </c>
      <c r="Q18" t="s">
        <v>58</v>
      </c>
      <c r="R18" s="32" t="s">
        <v>59</v>
      </c>
      <c r="S18" s="32" t="s">
        <v>60</v>
      </c>
      <c r="T18" s="32" t="s">
        <v>61</v>
      </c>
      <c r="U18" s="32" t="s">
        <v>62</v>
      </c>
      <c r="V18" s="32" t="s">
        <v>63</v>
      </c>
      <c r="W18" s="32" t="s">
        <v>64</v>
      </c>
    </row>
    <row r="19" ht="14.25" customHeight="1">
      <c r="A19" t="s">
        <v>65</v>
      </c>
      <c r="B19">
        <v>190.0</v>
      </c>
      <c r="C19" s="39">
        <v>0.1815</v>
      </c>
      <c r="D19" s="8" t="str">
        <f t="shared" ref="D19:D30" si="5"> $F$5*C19</f>
        <v>529589</v>
      </c>
      <c r="E19" s="7" t="str">
        <f t="shared" ref="E19:E28" si="6"> IF(B5&lt; 80, 0.008-6.12*($B$8*($B$11)^2/($B$5*($B$12)^2))+2.36*(B19*$B$11/($B$5*($B$12)^4))+0.02677*$B$9, IF(B5&lt;150,0.08-9.69*($B$8*($B$11)^2/($B$5*($B$12)^2))+2.09*(B19*$B$11/($B$5*($B$12)^4))+0.0409*$B$9,IF(B5&gt;150, 0.042+3.26*($B$8*($B$11)^2/($B$5*($B$12)^2))+1.62*(B19*$B$11/($B$5*($B$12)^4))+0.0522*$B$9, "Do")))</f>
        <v>1.69</v>
      </c>
      <c r="F19" s="7" t="str">
        <f t="shared" ref="F19:F30" si="7"> E19/($B$13*1.1)</f>
        <v>0.31</v>
      </c>
      <c r="G19" s="8" t="str">
        <f t="shared" ref="G19:G30" si="8"> IF(F19&lt;0.45, "Infinite", IF(F19&lt;0.55, (4.2577/(F19-0.4325))^3.268, "DO"))</f>
        <v>Infinite</v>
      </c>
      <c r="H19" t="str">
        <f t="shared" ref="H19:H30" si="9"> IF(G19= "Infinite",0, D19/G19)</f>
        <v>0</v>
      </c>
      <c r="P19" t="s">
        <v>65</v>
      </c>
      <c r="Q19">
        <v>190.0</v>
      </c>
      <c r="R19" s="39">
        <v>0.1815</v>
      </c>
      <c r="S19" s="8" t="str">
        <f t="shared" ref="S19:S30" si="10"> $F$5*R19</f>
        <v>529589</v>
      </c>
      <c r="T19" s="7" t="str">
        <f t="shared" ref="T19:T28" si="11"> IF(Q5&lt; 80, 0.008-6.12*($B$8*($B$11)^2/($B$5*($B$12)^2))+2.36*(Q19*$B$11/($B$5*($B$12)^4))+0.02677*$B$9, IF(Q5&lt;150,0.08-9.69*($B$8*($B$11)^2/($B$5*($B$12)^2))+2.09*(Q19*$B$11/($B$5*($B$12)^4))+0.0409*$B$9,IF(Q5&gt;150, 0.042+3.26*($B$8*($B$11)^2/($B$5*($B$12)^2))+1.62*(Q19*$B$11/($B$5*($B$12)^4))+0.0522*$B$9, "Do")))</f>
        <v>1.69</v>
      </c>
      <c r="U19" s="7" t="str">
        <f t="shared" ref="U19:U30" si="12"> T19/($B$13*1.1)</f>
        <v>0.31</v>
      </c>
      <c r="V19" s="8" t="str">
        <f t="shared" ref="V19:V30" si="13"> IF(U19&lt;0.45, "Infinite", IF(U19&lt;0.55, (4.2577/(U19-0.4325))^3.268, "DO"))</f>
        <v>Infinite</v>
      </c>
      <c r="W19" t="str">
        <f t="shared" ref="W19:W30" si="14"> IF(V19= "Infinite",0, S19/V19)</f>
        <v>0</v>
      </c>
    </row>
    <row r="20" ht="14.25" customHeight="1">
      <c r="A20" t="s">
        <v>66</v>
      </c>
      <c r="B20">
        <v>180.0</v>
      </c>
      <c r="C20" s="39">
        <v>0.1743</v>
      </c>
      <c r="D20" s="8" t="str">
        <f t="shared" si="5"/>
        <v>508581</v>
      </c>
      <c r="E20" s="7" t="str">
        <f t="shared" si="6"/>
        <v>1.65</v>
      </c>
      <c r="F20" s="7" t="str">
        <f t="shared" si="7"/>
        <v>0.31</v>
      </c>
      <c r="G20" s="8" t="str">
        <f t="shared" si="8"/>
        <v>Infinite</v>
      </c>
      <c r="H20" t="str">
        <f t="shared" si="9"/>
        <v>0</v>
      </c>
      <c r="P20" t="s">
        <v>66</v>
      </c>
      <c r="Q20">
        <v>180.0</v>
      </c>
      <c r="R20" s="39">
        <v>0.1743</v>
      </c>
      <c r="S20" s="8" t="str">
        <f t="shared" si="10"/>
        <v>508581</v>
      </c>
      <c r="T20" s="7" t="str">
        <f t="shared" si="11"/>
        <v>1.65</v>
      </c>
      <c r="U20" s="7" t="str">
        <f t="shared" si="12"/>
        <v>0.31</v>
      </c>
      <c r="V20" s="8" t="str">
        <f t="shared" si="13"/>
        <v>Infinite</v>
      </c>
      <c r="W20" t="str">
        <f t="shared" si="14"/>
        <v>0</v>
      </c>
    </row>
    <row r="21" ht="14.25" customHeight="1">
      <c r="A21" t="s">
        <v>67</v>
      </c>
      <c r="B21">
        <v>170.0</v>
      </c>
      <c r="C21" s="39">
        <v>0.1827</v>
      </c>
      <c r="D21" s="8" t="str">
        <f t="shared" si="5"/>
        <v>533090</v>
      </c>
      <c r="E21" s="7" t="str">
        <f t="shared" si="6"/>
        <v>1.28</v>
      </c>
      <c r="F21" s="7" t="str">
        <f t="shared" si="7"/>
        <v>0.24</v>
      </c>
      <c r="G21" s="8" t="str">
        <f t="shared" si="8"/>
        <v>Infinite</v>
      </c>
      <c r="H21" t="str">
        <f t="shared" si="9"/>
        <v>0</v>
      </c>
      <c r="P21" t="s">
        <v>67</v>
      </c>
      <c r="Q21">
        <v>170.0</v>
      </c>
      <c r="R21" s="39">
        <v>0.1827</v>
      </c>
      <c r="S21" s="8" t="str">
        <f t="shared" si="10"/>
        <v>533090</v>
      </c>
      <c r="T21" s="7" t="str">
        <f t="shared" si="11"/>
        <v>1.28</v>
      </c>
      <c r="U21" s="7" t="str">
        <f t="shared" si="12"/>
        <v>0.24</v>
      </c>
      <c r="V21" s="8" t="str">
        <f t="shared" si="13"/>
        <v>Infinite</v>
      </c>
      <c r="W21" t="str">
        <f t="shared" si="14"/>
        <v>0</v>
      </c>
    </row>
    <row r="22" ht="14.25" customHeight="1">
      <c r="A22" t="s">
        <v>68</v>
      </c>
      <c r="B22">
        <v>160.0</v>
      </c>
      <c r="C22" s="39">
        <v>0.1298</v>
      </c>
      <c r="D22" s="8" t="str">
        <f t="shared" si="5"/>
        <v>378736</v>
      </c>
      <c r="E22" s="7" t="str">
        <f t="shared" si="6"/>
        <v>1.23</v>
      </c>
      <c r="F22" s="7" t="str">
        <f t="shared" si="7"/>
        <v>0.23</v>
      </c>
      <c r="G22" s="8" t="str">
        <f t="shared" si="8"/>
        <v>Infinite</v>
      </c>
      <c r="H22" t="str">
        <f t="shared" si="9"/>
        <v>0</v>
      </c>
      <c r="P22" t="s">
        <v>68</v>
      </c>
      <c r="Q22">
        <v>160.0</v>
      </c>
      <c r="R22" s="39">
        <v>0.1298</v>
      </c>
      <c r="S22" s="8" t="str">
        <f t="shared" si="10"/>
        <v>378736</v>
      </c>
      <c r="T22" s="7" t="str">
        <f t="shared" si="11"/>
        <v>1.23</v>
      </c>
      <c r="U22" s="7" t="str">
        <f t="shared" si="12"/>
        <v>0.23</v>
      </c>
      <c r="V22" s="8" t="str">
        <f t="shared" si="13"/>
        <v>Infinite</v>
      </c>
      <c r="W22" t="str">
        <f t="shared" si="14"/>
        <v>0</v>
      </c>
    </row>
    <row r="23" ht="14.25" customHeight="1">
      <c r="A23" t="s">
        <v>69</v>
      </c>
      <c r="B23">
        <v>150.0</v>
      </c>
      <c r="C23" s="39">
        <v>0.07</v>
      </c>
      <c r="D23" s="8" t="str">
        <f t="shared" si="5"/>
        <v>204249</v>
      </c>
      <c r="E23" s="7" t="str">
        <f t="shared" si="6"/>
        <v>1.17</v>
      </c>
      <c r="F23" s="7" t="str">
        <f t="shared" si="7"/>
        <v>0.22</v>
      </c>
      <c r="G23" s="8" t="str">
        <f t="shared" si="8"/>
        <v>Infinite</v>
      </c>
      <c r="H23" t="str">
        <f t="shared" si="9"/>
        <v>0</v>
      </c>
      <c r="P23" t="s">
        <v>69</v>
      </c>
      <c r="Q23">
        <v>150.0</v>
      </c>
      <c r="R23" s="39">
        <v>0.01</v>
      </c>
      <c r="S23" s="8" t="str">
        <f t="shared" si="10"/>
        <v>29178</v>
      </c>
      <c r="T23" s="7" t="str">
        <f t="shared" si="11"/>
        <v>1.17</v>
      </c>
      <c r="U23" s="7" t="str">
        <f t="shared" si="12"/>
        <v>0.22</v>
      </c>
      <c r="V23" s="8" t="str">
        <f t="shared" si="13"/>
        <v>Infinite</v>
      </c>
      <c r="W23" t="str">
        <f t="shared" si="14"/>
        <v>0</v>
      </c>
    </row>
    <row r="24" ht="14.25" customHeight="1">
      <c r="A24" t="s">
        <v>70</v>
      </c>
      <c r="B24">
        <v>140.0</v>
      </c>
      <c r="C24" s="39">
        <v>0.0162</v>
      </c>
      <c r="D24" s="8" t="str">
        <f t="shared" si="5"/>
        <v>47269</v>
      </c>
      <c r="E24" s="7" t="str">
        <f t="shared" si="6"/>
        <v>1.12</v>
      </c>
      <c r="F24" s="7" t="str">
        <f t="shared" si="7"/>
        <v>0.21</v>
      </c>
      <c r="G24" s="8" t="str">
        <f t="shared" si="8"/>
        <v>Infinite</v>
      </c>
      <c r="H24" t="str">
        <f t="shared" si="9"/>
        <v>0</v>
      </c>
      <c r="P24" t="s">
        <v>70</v>
      </c>
      <c r="Q24">
        <v>140.0</v>
      </c>
      <c r="R24" s="39">
        <v>0.0162</v>
      </c>
      <c r="S24" s="8" t="str">
        <f t="shared" si="10"/>
        <v>47269</v>
      </c>
      <c r="T24" s="7" t="str">
        <f t="shared" si="11"/>
        <v>1.12</v>
      </c>
      <c r="U24" s="7" t="str">
        <f t="shared" si="12"/>
        <v>0.21</v>
      </c>
      <c r="V24" s="8" t="str">
        <f t="shared" si="13"/>
        <v>Infinite</v>
      </c>
      <c r="W24" t="str">
        <f t="shared" si="14"/>
        <v>0</v>
      </c>
    </row>
    <row r="25" ht="14.25" customHeight="1">
      <c r="A25" t="s">
        <v>71</v>
      </c>
      <c r="B25">
        <v>130.0</v>
      </c>
      <c r="C25" s="39">
        <v>0.0262</v>
      </c>
      <c r="D25" s="8" t="str">
        <f t="shared" si="5"/>
        <v>76448</v>
      </c>
      <c r="E25" s="7" t="str">
        <f t="shared" si="6"/>
        <v>1.06</v>
      </c>
      <c r="F25" s="7" t="str">
        <f t="shared" si="7"/>
        <v>0.20</v>
      </c>
      <c r="G25" s="8" t="str">
        <f t="shared" si="8"/>
        <v>Infinite</v>
      </c>
      <c r="H25" t="str">
        <f t="shared" si="9"/>
        <v>0</v>
      </c>
      <c r="P25" t="s">
        <v>71</v>
      </c>
      <c r="Q25">
        <v>130.0</v>
      </c>
      <c r="R25" s="39">
        <v>0.0262</v>
      </c>
      <c r="S25" s="8" t="str">
        <f t="shared" si="10"/>
        <v>76448</v>
      </c>
      <c r="T25" s="7" t="str">
        <f t="shared" si="11"/>
        <v>1.06</v>
      </c>
      <c r="U25" s="7" t="str">
        <f t="shared" si="12"/>
        <v>0.20</v>
      </c>
      <c r="V25" s="8" t="str">
        <f t="shared" si="13"/>
        <v>Infinite</v>
      </c>
      <c r="W25" t="str">
        <f t="shared" si="14"/>
        <v>0</v>
      </c>
    </row>
    <row r="26" ht="14.25" customHeight="1">
      <c r="A26" t="s">
        <v>72</v>
      </c>
      <c r="B26">
        <v>120.0</v>
      </c>
      <c r="C26" s="39">
        <v>0.0265</v>
      </c>
      <c r="D26" s="8" t="str">
        <f t="shared" si="5"/>
        <v>77323</v>
      </c>
      <c r="E26" s="7" t="str">
        <f t="shared" si="6"/>
        <v>1.01</v>
      </c>
      <c r="F26" s="7" t="str">
        <f t="shared" si="7"/>
        <v>0.19</v>
      </c>
      <c r="G26" s="8" t="str">
        <f t="shared" si="8"/>
        <v>Infinite</v>
      </c>
      <c r="H26" t="str">
        <f t="shared" si="9"/>
        <v>0</v>
      </c>
      <c r="P26" t="s">
        <v>72</v>
      </c>
      <c r="Q26">
        <v>120.0</v>
      </c>
      <c r="R26" s="39">
        <v>0.0265</v>
      </c>
      <c r="S26" s="8" t="str">
        <f t="shared" si="10"/>
        <v>77323</v>
      </c>
      <c r="T26" s="7" t="str">
        <f t="shared" si="11"/>
        <v>1.01</v>
      </c>
      <c r="U26" s="7" t="str">
        <f t="shared" si="12"/>
        <v>0.19</v>
      </c>
      <c r="V26" s="8" t="str">
        <f t="shared" si="13"/>
        <v>Infinite</v>
      </c>
      <c r="W26" t="str">
        <f t="shared" si="14"/>
        <v>0</v>
      </c>
    </row>
    <row r="27" ht="14.25" customHeight="1">
      <c r="A27" t="s">
        <v>73</v>
      </c>
      <c r="B27">
        <v>110.0</v>
      </c>
      <c r="C27" s="39">
        <v>0.0265</v>
      </c>
      <c r="D27" s="8" t="str">
        <f t="shared" si="5"/>
        <v>77323</v>
      </c>
      <c r="E27" s="7" t="str">
        <f t="shared" si="6"/>
        <v>0.95</v>
      </c>
      <c r="F27" s="7" t="str">
        <f t="shared" si="7"/>
        <v>0.18</v>
      </c>
      <c r="G27" s="8" t="str">
        <f t="shared" si="8"/>
        <v>Infinite</v>
      </c>
      <c r="H27" t="str">
        <f t="shared" si="9"/>
        <v>0</v>
      </c>
      <c r="P27" t="s">
        <v>73</v>
      </c>
      <c r="Q27">
        <v>110.0</v>
      </c>
      <c r="R27" s="39">
        <v>0.0265</v>
      </c>
      <c r="S27" s="8" t="str">
        <f t="shared" si="10"/>
        <v>77323</v>
      </c>
      <c r="T27" s="7" t="str">
        <f t="shared" si="11"/>
        <v>0.95</v>
      </c>
      <c r="U27" s="7" t="str">
        <f t="shared" si="12"/>
        <v>0.18</v>
      </c>
      <c r="V27" s="8" t="str">
        <f t="shared" si="13"/>
        <v>Infinite</v>
      </c>
      <c r="W27" t="str">
        <f t="shared" si="14"/>
        <v>0</v>
      </c>
    </row>
    <row r="28" ht="14.25" customHeight="1">
      <c r="A28" t="s">
        <v>74</v>
      </c>
      <c r="B28">
        <v>100.0</v>
      </c>
      <c r="C28" s="39">
        <v>0.0325</v>
      </c>
      <c r="D28" s="8" t="str">
        <f t="shared" si="5"/>
        <v>94830</v>
      </c>
      <c r="E28" s="7" t="str">
        <f t="shared" si="6"/>
        <v>0.90</v>
      </c>
      <c r="F28" s="7" t="str">
        <f t="shared" si="7"/>
        <v>0.17</v>
      </c>
      <c r="G28" s="8" t="str">
        <f t="shared" si="8"/>
        <v>Infinite</v>
      </c>
      <c r="H28" t="str">
        <f t="shared" si="9"/>
        <v>0</v>
      </c>
      <c r="P28" t="s">
        <v>74</v>
      </c>
      <c r="Q28">
        <v>100.0</v>
      </c>
      <c r="R28" s="39">
        <v>0.0325</v>
      </c>
      <c r="S28" s="8" t="str">
        <f t="shared" si="10"/>
        <v>94830</v>
      </c>
      <c r="T28" s="7" t="str">
        <f t="shared" si="11"/>
        <v>0.90</v>
      </c>
      <c r="U28" s="7" t="str">
        <f t="shared" si="12"/>
        <v>0.17</v>
      </c>
      <c r="V28" s="8" t="str">
        <f t="shared" si="13"/>
        <v>Infinite</v>
      </c>
      <c r="W28" t="str">
        <f t="shared" si="14"/>
        <v>0</v>
      </c>
    </row>
    <row r="29" ht="14.25" customHeight="1">
      <c r="A29" t="s">
        <v>75</v>
      </c>
      <c r="B29">
        <v>90.0</v>
      </c>
      <c r="C29" s="39">
        <v>0.0325</v>
      </c>
      <c r="D29" s="8" t="str">
        <f t="shared" si="5"/>
        <v>94830</v>
      </c>
      <c r="E29" s="7" t="str">
        <f t="shared" ref="E29:E30" si="15"> IF(B16&lt; 80, 0.008-6.12*($B$8*($B$11)^2/($B$5*($B$12)^2))+2.36*(B29*$B$11/($B$5*($B$12)^4))+0.02677*$B$9, IF(B16&lt;150,0.08-9.69*($B$8*($B$11)^2/($B$5*($B$12)^2))+2.09*(B29*$B$11/($B$5*($B$12)^4))+0.0409*$B$9,IF(B16&gt;150, 0.042+3.26*($B$8*($B$11)^2/($B$5*($B$12)^2))+1.62*(B29*$B$11/($B$5*($B$12)^4))+0.0522*$B$9, "Do")))</f>
        <v>0.84</v>
      </c>
      <c r="F29" s="7" t="str">
        <f t="shared" si="7"/>
        <v>0.16</v>
      </c>
      <c r="G29" s="8" t="str">
        <f t="shared" si="8"/>
        <v>Infinite</v>
      </c>
      <c r="H29" t="str">
        <f t="shared" si="9"/>
        <v>0</v>
      </c>
      <c r="P29" t="s">
        <v>75</v>
      </c>
      <c r="Q29">
        <v>90.0</v>
      </c>
      <c r="R29" s="39">
        <v>0.0325</v>
      </c>
      <c r="S29" s="8" t="str">
        <f t="shared" si="10"/>
        <v>94830</v>
      </c>
      <c r="T29" s="7" t="str">
        <f t="shared" ref="T29:T30" si="16"> IF(Q16&lt; 80, 0.008-6.12*($B$8*($B$11)^2/($B$5*($B$12)^2))+2.36*(Q29*$B$11/($B$5*($B$12)^4))+0.02677*$B$9, IF(Q16&lt;150,0.08-9.69*($B$8*($B$11)^2/($B$5*($B$12)^2))+2.09*(Q29*$B$11/($B$5*($B$12)^4))+0.0409*$B$9,IF(Q16&gt;150, 0.042+3.26*($B$8*($B$11)^2/($B$5*($B$12)^2))+1.62*(Q29*$B$11/($B$5*($B$12)^4))+0.0522*$B$9, "Do")))</f>
        <v>0.84</v>
      </c>
      <c r="U29" s="7" t="str">
        <f t="shared" si="12"/>
        <v>0.16</v>
      </c>
      <c r="V29" s="8" t="str">
        <f t="shared" si="13"/>
        <v>Infinite</v>
      </c>
      <c r="W29" t="str">
        <f t="shared" si="14"/>
        <v>0</v>
      </c>
    </row>
    <row r="30" ht="14.25" customHeight="1">
      <c r="A30" t="s">
        <v>76</v>
      </c>
      <c r="B30">
        <v>85.0</v>
      </c>
      <c r="C30" s="39">
        <v>0.1013</v>
      </c>
      <c r="D30" s="8" t="str">
        <f t="shared" si="5"/>
        <v>295578</v>
      </c>
      <c r="E30" s="7" t="str">
        <f t="shared" si="15"/>
        <v>0.82</v>
      </c>
      <c r="F30" s="7" t="str">
        <f t="shared" si="7"/>
        <v>0.15</v>
      </c>
      <c r="G30" s="8" t="str">
        <f t="shared" si="8"/>
        <v>Infinite</v>
      </c>
      <c r="H30" t="str">
        <f t="shared" si="9"/>
        <v>0</v>
      </c>
      <c r="P30" t="s">
        <v>76</v>
      </c>
      <c r="Q30">
        <v>85.0</v>
      </c>
      <c r="R30" s="39">
        <v>0.1613</v>
      </c>
      <c r="S30" s="8" t="str">
        <f t="shared" si="10"/>
        <v>470649</v>
      </c>
      <c r="T30" s="7" t="str">
        <f t="shared" si="16"/>
        <v>0.82</v>
      </c>
      <c r="U30" s="7" t="str">
        <f t="shared" si="12"/>
        <v>0.15</v>
      </c>
      <c r="V30" s="8" t="str">
        <f t="shared" si="13"/>
        <v>Infinite</v>
      </c>
      <c r="W30" t="str">
        <f t="shared" si="14"/>
        <v>0</v>
      </c>
    </row>
    <row r="31" ht="14.25" customHeight="1">
      <c r="A31" t="s">
        <v>77</v>
      </c>
      <c r="B31" s="8" t="str">
        <f> SUM(D19,D20,D21,D22,D23,D24,D25,D26,D27,D28,D29,D30)</f>
        <v>2917846</v>
      </c>
      <c r="C31" s="38" t="s">
        <v>78</v>
      </c>
      <c r="H31" t="str">
        <f> SUM(H19,H20,H21,H22,H23,H24,H25,H26,H27,H28,H29,H30)</f>
        <v>0</v>
      </c>
      <c r="P31" t="s">
        <v>77</v>
      </c>
      <c r="Q31" s="8" t="str">
        <f> SUM(S19,S20,S21,S22,S23,S24,S25,S26,S27,S28,S29,S30)</f>
        <v>2917846</v>
      </c>
      <c r="R31" s="38" t="s">
        <v>78</v>
      </c>
      <c r="W31" t="str">
        <f> SUM(W19,W20,W21,W22,W23,W24,W25,W26,W27,W28,W29,W30)</f>
        <v>0</v>
      </c>
    </row>
    <row r="32" ht="14.25" customHeight="1">
      <c r="A32" s="38" t="s">
        <v>79</v>
      </c>
      <c r="P32" s="38" t="s">
        <v>79</v>
      </c>
    </row>
    <row r="33" ht="14.25" customHeight="1">
      <c r="A33" t="s">
        <v>57</v>
      </c>
      <c r="B33" t="s">
        <v>58</v>
      </c>
      <c r="C33" s="32" t="s">
        <v>59</v>
      </c>
      <c r="D33" s="32" t="s">
        <v>60</v>
      </c>
      <c r="E33" s="32" t="s">
        <v>61</v>
      </c>
      <c r="F33" s="32" t="s">
        <v>62</v>
      </c>
      <c r="G33" s="32" t="s">
        <v>63</v>
      </c>
      <c r="H33" s="32" t="s">
        <v>64</v>
      </c>
      <c r="P33" t="s">
        <v>57</v>
      </c>
      <c r="Q33" t="s">
        <v>58</v>
      </c>
      <c r="R33" s="32" t="s">
        <v>59</v>
      </c>
      <c r="S33" s="32" t="s">
        <v>60</v>
      </c>
      <c r="T33" s="32" t="s">
        <v>61</v>
      </c>
      <c r="U33" s="32" t="s">
        <v>62</v>
      </c>
      <c r="V33" s="32" t="s">
        <v>63</v>
      </c>
      <c r="W33" s="32" t="s">
        <v>64</v>
      </c>
    </row>
    <row r="34" ht="14.25" customHeight="1">
      <c r="A34" t="s">
        <v>80</v>
      </c>
      <c r="B34">
        <v>390.0</v>
      </c>
      <c r="C34" s="39">
        <v>0.145</v>
      </c>
      <c r="D34" s="8" t="str">
        <f t="shared" ref="D34:D45" si="17"> $F$6*C34</f>
        <v>522638</v>
      </c>
      <c r="E34" s="7" t="str">
        <f t="shared" ref="E34:E45" si="18"> IF($B$5&lt; 80, -0.188+0.93*($B$8*($B$11)^2/($B$5*($B$12)^2))+1.025*(B34*$B$11/($B$5*($B$12)^4))+0.0207*$B$9, IF($B$5 &lt;150,-0.174+1.21*($B$8*($B$11)^2/($B$5*($B$12)^2))+0.87*(B34*$B$11/($B$5*($B$12)^4))+0.0364*$B$9,IF($B$5 &gt;150, -0.21+3.88*($B$8*($B$11)^2/($B$5*($B$12)^2))+0.73*(B34*$B$11/($B$5*($B$12)^4))+0.0506*$B$9, "Do")))</f>
        <v>1.37</v>
      </c>
      <c r="F34" s="7" t="str">
        <f t="shared" ref="F34:F45" si="19"> E34/($B$13*1.1)</f>
        <v>0.25</v>
      </c>
      <c r="G34" s="8" t="str">
        <f t="shared" ref="G34:G45" si="20"> IF(F34&lt;0.45, "Infinite", IF(F34&lt;0.55, (4.2577/(F34-0.4325))^3.268, "DO"))</f>
        <v>Infinite</v>
      </c>
      <c r="H34" t="str">
        <f t="shared" ref="H34:H45" si="21"> IF(G34= "Infinite",0, D34/G34)</f>
        <v>0</v>
      </c>
      <c r="P34" t="s">
        <v>80</v>
      </c>
      <c r="Q34">
        <v>390.0</v>
      </c>
      <c r="R34" s="39">
        <v>0.145</v>
      </c>
      <c r="S34" s="8" t="str">
        <f t="shared" ref="S34:S45" si="22"> $F$6*R34</f>
        <v>522638</v>
      </c>
      <c r="T34" s="7" t="str">
        <f t="shared" ref="T34:T45" si="23"> IF($B$5&lt; 80, -0.188+0.93*($B$8*($B$11)^2/($B$5*($B$12)^2))+1.025*(Q34*$B$11/($B$5*($B$12)^4))+0.0207*$B$9, IF($B$5 &lt;150,-0.174+1.21*($B$8*($B$11)^2/($B$5*($B$12)^2))+0.87*(Q34*$B$11/($B$5*($B$12)^4))+0.0364*$B$9,IF($B$5 &gt;150, -0.21+3.88*($B$8*($B$11)^2/($B$5*($B$12)^2))+0.73*(Q34*$B$11/($B$5*($B$12)^4))+0.0506*$B$9, "Do")))</f>
        <v>1.37</v>
      </c>
      <c r="U34" s="7" t="str">
        <f t="shared" ref="U34:U45" si="24"> T34/($B$13*1.1)</f>
        <v>0.25</v>
      </c>
      <c r="V34" s="8" t="str">
        <f t="shared" ref="V34:V45" si="25"> IF(U34&lt;0.45, "Infinite", IF(U34&lt;0.55, (4.2577/(U34-0.4325))^3.268, "DO"))</f>
        <v>Infinite</v>
      </c>
      <c r="W34" t="str">
        <f t="shared" ref="W34:W45" si="26"> IF(V34= "Infinite",0, S34/V34)</f>
        <v>0</v>
      </c>
    </row>
    <row r="35" ht="14.25" customHeight="1">
      <c r="A35" t="s">
        <v>81</v>
      </c>
      <c r="B35">
        <v>370.0</v>
      </c>
      <c r="C35" s="39">
        <v>0.105</v>
      </c>
      <c r="D35" s="8" t="str">
        <f t="shared" si="17"/>
        <v>378462</v>
      </c>
      <c r="E35" s="7" t="str">
        <f t="shared" si="18"/>
        <v>1.34</v>
      </c>
      <c r="F35" s="7" t="str">
        <f t="shared" si="19"/>
        <v>0.25</v>
      </c>
      <c r="G35" s="8" t="str">
        <f t="shared" si="20"/>
        <v>Infinite</v>
      </c>
      <c r="H35" t="str">
        <f t="shared" si="21"/>
        <v>0</v>
      </c>
      <c r="P35" t="s">
        <v>81</v>
      </c>
      <c r="Q35">
        <v>370.0</v>
      </c>
      <c r="R35" s="39">
        <v>0.105</v>
      </c>
      <c r="S35" s="8" t="str">
        <f t="shared" si="22"/>
        <v>378462</v>
      </c>
      <c r="T35" s="7" t="str">
        <f t="shared" si="23"/>
        <v>1.34</v>
      </c>
      <c r="U35" s="7" t="str">
        <f t="shared" si="24"/>
        <v>0.25</v>
      </c>
      <c r="V35" s="8" t="str">
        <f t="shared" si="25"/>
        <v>Infinite</v>
      </c>
      <c r="W35" t="str">
        <f t="shared" si="26"/>
        <v>0</v>
      </c>
    </row>
    <row r="36" ht="14.25" customHeight="1">
      <c r="A36" t="s">
        <v>82</v>
      </c>
      <c r="B36">
        <v>350.0</v>
      </c>
      <c r="C36" s="39">
        <v>0.07</v>
      </c>
      <c r="D36" s="8" t="str">
        <f t="shared" si="17"/>
        <v>252308</v>
      </c>
      <c r="E36" s="7" t="str">
        <f t="shared" si="18"/>
        <v>1.30</v>
      </c>
      <c r="F36" s="7" t="str">
        <f t="shared" si="19"/>
        <v>0.24</v>
      </c>
      <c r="G36" s="8" t="str">
        <f t="shared" si="20"/>
        <v>Infinite</v>
      </c>
      <c r="H36" t="str">
        <f t="shared" si="21"/>
        <v>0</v>
      </c>
      <c r="P36" t="s">
        <v>82</v>
      </c>
      <c r="Q36">
        <v>350.0</v>
      </c>
      <c r="R36" s="39">
        <v>0.01</v>
      </c>
      <c r="S36" s="8" t="str">
        <f t="shared" si="22"/>
        <v>36044</v>
      </c>
      <c r="T36" s="7" t="str">
        <f t="shared" si="23"/>
        <v>1.30</v>
      </c>
      <c r="U36" s="7" t="str">
        <f t="shared" si="24"/>
        <v>0.24</v>
      </c>
      <c r="V36" s="8" t="str">
        <f t="shared" si="25"/>
        <v>Infinite</v>
      </c>
      <c r="W36" t="str">
        <f t="shared" si="26"/>
        <v>0</v>
      </c>
    </row>
    <row r="37" ht="14.25" customHeight="1">
      <c r="A37" t="s">
        <v>83</v>
      </c>
      <c r="B37">
        <v>330.0</v>
      </c>
      <c r="C37" s="39">
        <v>0.025</v>
      </c>
      <c r="D37" s="8" t="str">
        <f t="shared" si="17"/>
        <v>90110</v>
      </c>
      <c r="E37" s="7" t="str">
        <f t="shared" si="18"/>
        <v>1.27</v>
      </c>
      <c r="F37" s="7" t="str">
        <f t="shared" si="19"/>
        <v>0.24</v>
      </c>
      <c r="G37" s="8" t="str">
        <f t="shared" si="20"/>
        <v>Infinite</v>
      </c>
      <c r="H37" t="str">
        <f t="shared" si="21"/>
        <v>0</v>
      </c>
      <c r="P37" t="s">
        <v>83</v>
      </c>
      <c r="Q37">
        <v>330.0</v>
      </c>
      <c r="R37" s="39">
        <v>0.025</v>
      </c>
      <c r="S37" s="8" t="str">
        <f t="shared" si="22"/>
        <v>90110</v>
      </c>
      <c r="T37" s="7" t="str">
        <f t="shared" si="23"/>
        <v>1.27</v>
      </c>
      <c r="U37" s="7" t="str">
        <f t="shared" si="24"/>
        <v>0.24</v>
      </c>
      <c r="V37" s="8" t="str">
        <f t="shared" si="25"/>
        <v>Infinite</v>
      </c>
      <c r="W37" t="str">
        <f t="shared" si="26"/>
        <v>0</v>
      </c>
    </row>
    <row r="38" ht="14.25" customHeight="1">
      <c r="A38" t="s">
        <v>84</v>
      </c>
      <c r="B38">
        <v>310.0</v>
      </c>
      <c r="C38" s="39">
        <v>0.0269</v>
      </c>
      <c r="D38" s="8" t="str">
        <f t="shared" si="17"/>
        <v>96958</v>
      </c>
      <c r="E38" s="7" t="str">
        <f t="shared" si="18"/>
        <v>1.23</v>
      </c>
      <c r="F38" s="7" t="str">
        <f t="shared" si="19"/>
        <v>0.23</v>
      </c>
      <c r="G38" s="8" t="str">
        <f t="shared" si="20"/>
        <v>Infinite</v>
      </c>
      <c r="H38" t="str">
        <f t="shared" si="21"/>
        <v>0</v>
      </c>
      <c r="P38" t="s">
        <v>84</v>
      </c>
      <c r="Q38">
        <v>310.0</v>
      </c>
      <c r="R38" s="39">
        <v>0.0269</v>
      </c>
      <c r="S38" s="8" t="str">
        <f t="shared" si="22"/>
        <v>96958</v>
      </c>
      <c r="T38" s="7" t="str">
        <f t="shared" si="23"/>
        <v>1.23</v>
      </c>
      <c r="U38" s="7" t="str">
        <f t="shared" si="24"/>
        <v>0.23</v>
      </c>
      <c r="V38" s="8" t="str">
        <f t="shared" si="25"/>
        <v>Infinite</v>
      </c>
      <c r="W38" t="str">
        <f t="shared" si="26"/>
        <v>0</v>
      </c>
    </row>
    <row r="39" ht="14.25" customHeight="1">
      <c r="A39" t="s">
        <v>85</v>
      </c>
      <c r="B39">
        <v>290.0</v>
      </c>
      <c r="C39" s="39">
        <v>0.0126</v>
      </c>
      <c r="D39" s="8" t="str">
        <f t="shared" si="17"/>
        <v>45415</v>
      </c>
      <c r="E39" s="7" t="str">
        <f t="shared" si="18"/>
        <v>1.20</v>
      </c>
      <c r="F39" s="7" t="str">
        <f t="shared" si="19"/>
        <v>0.22</v>
      </c>
      <c r="G39" s="8" t="str">
        <f t="shared" si="20"/>
        <v>Infinite</v>
      </c>
      <c r="H39" t="str">
        <f t="shared" si="21"/>
        <v>0</v>
      </c>
      <c r="P39" t="s">
        <v>85</v>
      </c>
      <c r="Q39">
        <v>290.0</v>
      </c>
      <c r="R39" s="39">
        <v>0.0126</v>
      </c>
      <c r="S39" s="8" t="str">
        <f t="shared" si="22"/>
        <v>45415</v>
      </c>
      <c r="T39" s="7" t="str">
        <f t="shared" si="23"/>
        <v>1.20</v>
      </c>
      <c r="U39" s="7" t="str">
        <f t="shared" si="24"/>
        <v>0.22</v>
      </c>
      <c r="V39" s="8" t="str">
        <f t="shared" si="25"/>
        <v>Infinite</v>
      </c>
      <c r="W39" t="str">
        <f t="shared" si="26"/>
        <v>0</v>
      </c>
    </row>
    <row r="40" ht="14.25" customHeight="1">
      <c r="A40" t="s">
        <v>86</v>
      </c>
      <c r="B40">
        <v>270.0</v>
      </c>
      <c r="C40" s="39">
        <v>0.039</v>
      </c>
      <c r="D40" s="8" t="str">
        <f t="shared" si="17"/>
        <v>140572</v>
      </c>
      <c r="E40" s="7" t="str">
        <f t="shared" si="18"/>
        <v>1.17</v>
      </c>
      <c r="F40" s="7" t="str">
        <f t="shared" si="19"/>
        <v>0.22</v>
      </c>
      <c r="G40" s="8" t="str">
        <f t="shared" si="20"/>
        <v>Infinite</v>
      </c>
      <c r="H40" t="str">
        <f t="shared" si="21"/>
        <v>0</v>
      </c>
      <c r="P40" t="s">
        <v>86</v>
      </c>
      <c r="Q40">
        <v>270.0</v>
      </c>
      <c r="R40" s="39">
        <v>0.039</v>
      </c>
      <c r="S40" s="8" t="str">
        <f t="shared" si="22"/>
        <v>140572</v>
      </c>
      <c r="T40" s="7" t="str">
        <f t="shared" si="23"/>
        <v>1.17</v>
      </c>
      <c r="U40" s="7" t="str">
        <f t="shared" si="24"/>
        <v>0.22</v>
      </c>
      <c r="V40" s="8" t="str">
        <f t="shared" si="25"/>
        <v>Infinite</v>
      </c>
      <c r="W40" t="str">
        <f t="shared" si="26"/>
        <v>0</v>
      </c>
    </row>
    <row r="41" ht="14.25" customHeight="1">
      <c r="A41" t="s">
        <v>87</v>
      </c>
      <c r="B41">
        <v>250.0</v>
      </c>
      <c r="C41" s="39">
        <v>0.0519</v>
      </c>
      <c r="D41" s="8" t="str">
        <f t="shared" si="17"/>
        <v>187068</v>
      </c>
      <c r="E41" s="7" t="str">
        <f t="shared" si="18"/>
        <v>1.13</v>
      </c>
      <c r="F41" s="7" t="str">
        <f t="shared" si="19"/>
        <v>0.21</v>
      </c>
      <c r="G41" s="8" t="str">
        <f t="shared" si="20"/>
        <v>Infinite</v>
      </c>
      <c r="H41" t="str">
        <f t="shared" si="21"/>
        <v>0</v>
      </c>
      <c r="P41" t="s">
        <v>87</v>
      </c>
      <c r="Q41">
        <v>250.0</v>
      </c>
      <c r="R41" s="39">
        <v>0.0519</v>
      </c>
      <c r="S41" s="8" t="str">
        <f t="shared" si="22"/>
        <v>187068</v>
      </c>
      <c r="T41" s="7" t="str">
        <f t="shared" si="23"/>
        <v>1.13</v>
      </c>
      <c r="U41" s="7" t="str">
        <f t="shared" si="24"/>
        <v>0.21</v>
      </c>
      <c r="V41" s="8" t="str">
        <f t="shared" si="25"/>
        <v>Infinite</v>
      </c>
      <c r="W41" t="str">
        <f t="shared" si="26"/>
        <v>0</v>
      </c>
    </row>
    <row r="42" ht="14.25" customHeight="1">
      <c r="A42" t="s">
        <v>88</v>
      </c>
      <c r="B42">
        <v>230.0</v>
      </c>
      <c r="C42" s="39">
        <v>0.063</v>
      </c>
      <c r="D42" s="8" t="str">
        <f t="shared" si="17"/>
        <v>227077</v>
      </c>
      <c r="E42" s="7" t="str">
        <f t="shared" si="18"/>
        <v>1.10</v>
      </c>
      <c r="F42" s="7" t="str">
        <f t="shared" si="19"/>
        <v>0.20</v>
      </c>
      <c r="G42" s="8" t="str">
        <f t="shared" si="20"/>
        <v>Infinite</v>
      </c>
      <c r="H42" t="str">
        <f t="shared" si="21"/>
        <v>0</v>
      </c>
      <c r="P42" t="s">
        <v>88</v>
      </c>
      <c r="Q42">
        <v>230.0</v>
      </c>
      <c r="R42" s="39">
        <v>0.063</v>
      </c>
      <c r="S42" s="8" t="str">
        <f t="shared" si="22"/>
        <v>227077</v>
      </c>
      <c r="T42" s="7" t="str">
        <f t="shared" si="23"/>
        <v>1.10</v>
      </c>
      <c r="U42" s="7" t="str">
        <f t="shared" si="24"/>
        <v>0.20</v>
      </c>
      <c r="V42" s="8" t="str">
        <f t="shared" si="25"/>
        <v>Infinite</v>
      </c>
      <c r="W42" t="str">
        <f t="shared" si="26"/>
        <v>0</v>
      </c>
    </row>
    <row r="43" ht="14.25" customHeight="1">
      <c r="A43" t="s">
        <v>89</v>
      </c>
      <c r="B43">
        <v>210.0</v>
      </c>
      <c r="C43" s="39">
        <v>0.064</v>
      </c>
      <c r="D43" s="8" t="str">
        <f t="shared" si="17"/>
        <v>230681</v>
      </c>
      <c r="E43" s="7" t="str">
        <f t="shared" si="18"/>
        <v>1.06</v>
      </c>
      <c r="F43" s="7" t="str">
        <f t="shared" si="19"/>
        <v>0.20</v>
      </c>
      <c r="G43" s="8" t="str">
        <f t="shared" si="20"/>
        <v>Infinite</v>
      </c>
      <c r="H43" t="str">
        <f t="shared" si="21"/>
        <v>0</v>
      </c>
      <c r="P43" t="s">
        <v>89</v>
      </c>
      <c r="Q43">
        <v>210.0</v>
      </c>
      <c r="R43" s="39">
        <v>0.064</v>
      </c>
      <c r="S43" s="8" t="str">
        <f t="shared" si="22"/>
        <v>230681</v>
      </c>
      <c r="T43" s="7" t="str">
        <f t="shared" si="23"/>
        <v>1.06</v>
      </c>
      <c r="U43" s="7" t="str">
        <f t="shared" si="24"/>
        <v>0.20</v>
      </c>
      <c r="V43" s="8" t="str">
        <f t="shared" si="25"/>
        <v>Infinite</v>
      </c>
      <c r="W43" t="str">
        <f t="shared" si="26"/>
        <v>0</v>
      </c>
    </row>
    <row r="44" ht="14.25" customHeight="1">
      <c r="A44" t="s">
        <v>90</v>
      </c>
      <c r="B44">
        <v>190.0</v>
      </c>
      <c r="C44" s="39">
        <v>0.0553</v>
      </c>
      <c r="D44" s="8" t="str">
        <f t="shared" si="17"/>
        <v>199323</v>
      </c>
      <c r="E44" s="7" t="str">
        <f t="shared" si="18"/>
        <v>1.03</v>
      </c>
      <c r="F44" s="7" t="str">
        <f t="shared" si="19"/>
        <v>0.19</v>
      </c>
      <c r="G44" s="8" t="str">
        <f t="shared" si="20"/>
        <v>Infinite</v>
      </c>
      <c r="H44" t="str">
        <f t="shared" si="21"/>
        <v>0</v>
      </c>
      <c r="P44" t="s">
        <v>90</v>
      </c>
      <c r="Q44">
        <v>190.0</v>
      </c>
      <c r="R44" s="39">
        <v>0.1153</v>
      </c>
      <c r="S44" s="8" t="str">
        <f t="shared" si="22"/>
        <v>415587</v>
      </c>
      <c r="T44" s="7" t="str">
        <f t="shared" si="23"/>
        <v>1.03</v>
      </c>
      <c r="U44" s="7" t="str">
        <f t="shared" si="24"/>
        <v>0.19</v>
      </c>
      <c r="V44" s="8" t="str">
        <f t="shared" si="25"/>
        <v>Infinite</v>
      </c>
      <c r="W44" t="str">
        <f t="shared" si="26"/>
        <v>0</v>
      </c>
    </row>
    <row r="45" ht="14.25" customHeight="1">
      <c r="A45" t="s">
        <v>91</v>
      </c>
      <c r="B45">
        <v>180.0</v>
      </c>
      <c r="C45" s="39">
        <v>0.3423</v>
      </c>
      <c r="D45" s="8" t="str">
        <f t="shared" si="17"/>
        <v>1233785</v>
      </c>
      <c r="E45" s="7" t="str">
        <f t="shared" si="18"/>
        <v>1.01</v>
      </c>
      <c r="F45" s="7" t="str">
        <f t="shared" si="19"/>
        <v>0.19</v>
      </c>
      <c r="G45" s="8" t="str">
        <f t="shared" si="20"/>
        <v>Infinite</v>
      </c>
      <c r="H45" t="str">
        <f t="shared" si="21"/>
        <v>0</v>
      </c>
      <c r="P45" t="s">
        <v>91</v>
      </c>
      <c r="Q45">
        <v>180.0</v>
      </c>
      <c r="R45" s="39">
        <v>0.3423</v>
      </c>
      <c r="S45" s="8" t="str">
        <f t="shared" si="22"/>
        <v>1233785</v>
      </c>
      <c r="T45" s="7" t="str">
        <f t="shared" si="23"/>
        <v>1.01</v>
      </c>
      <c r="U45" s="7" t="str">
        <f t="shared" si="24"/>
        <v>0.19</v>
      </c>
      <c r="V45" s="8" t="str">
        <f t="shared" si="25"/>
        <v>Infinite</v>
      </c>
      <c r="W45" t="str">
        <f t="shared" si="26"/>
        <v>0</v>
      </c>
    </row>
    <row r="46" ht="14.25" customHeight="1">
      <c r="A46" t="s">
        <v>77</v>
      </c>
      <c r="B46" s="8" t="str">
        <f> SUM(D34,D35,D36,D37,D38,D39,D40,D41,D42,D43,D44,D45)</f>
        <v>3604398</v>
      </c>
      <c r="C46" s="38" t="s">
        <v>92</v>
      </c>
      <c r="H46">
        <v>0.0</v>
      </c>
      <c r="P46" t="s">
        <v>77</v>
      </c>
      <c r="Q46" s="8" t="str">
        <f> SUM(S34,S35,S36,S37,S38,S39,S40,S41,S42,S43,S44,S45)</f>
        <v>3604398</v>
      </c>
      <c r="R46" s="38" t="s">
        <v>92</v>
      </c>
      <c r="W46">
        <v>0.0</v>
      </c>
    </row>
    <row r="47" ht="14.25" customHeight="1">
      <c r="A47" s="38"/>
      <c r="P47" s="38"/>
    </row>
    <row r="48" ht="14.25" customHeight="1">
      <c r="A48" t="s">
        <v>93</v>
      </c>
      <c r="B48" t="str">
        <f> H31+H46</f>
        <v>0</v>
      </c>
      <c r="C48" s="32"/>
      <c r="D48" s="32"/>
      <c r="E48" s="32"/>
      <c r="F48" s="32"/>
      <c r="G48" s="32"/>
      <c r="H48" s="32"/>
      <c r="P48" t="s">
        <v>93</v>
      </c>
      <c r="Q48" t="str">
        <f> W31+W46</f>
        <v>0</v>
      </c>
      <c r="R48" s="32"/>
      <c r="S48" s="32"/>
      <c r="T48" s="32"/>
      <c r="U48" s="32"/>
      <c r="V48" s="32"/>
      <c r="W48" s="32"/>
    </row>
    <row r="49" ht="14.25" customHeight="1">
      <c r="C49" s="39"/>
      <c r="D49" s="8"/>
      <c r="E49" s="7"/>
      <c r="F49" s="7"/>
      <c r="G49" s="8"/>
      <c r="R49" s="39"/>
      <c r="S49" s="8"/>
      <c r="T49" s="7"/>
      <c r="U49" s="7"/>
      <c r="V49" s="8"/>
    </row>
    <row r="50" ht="14.25" customHeight="1">
      <c r="A50" s="40" t="s">
        <v>94</v>
      </c>
      <c r="K50" s="41"/>
      <c r="P50" s="40" t="s">
        <v>94</v>
      </c>
    </row>
    <row r="51" ht="14.25" customHeight="1">
      <c r="A51" s="38" t="s">
        <v>56</v>
      </c>
      <c r="I51" s="32"/>
      <c r="J51" s="32"/>
      <c r="K51" s="32"/>
      <c r="L51" s="32"/>
      <c r="M51" s="32"/>
      <c r="N51" s="32"/>
      <c r="O51" s="32"/>
      <c r="P51" s="38" t="s">
        <v>56</v>
      </c>
      <c r="X51" s="32"/>
      <c r="Y51" s="32"/>
    </row>
    <row r="52" ht="14.25" customHeight="1">
      <c r="A52" t="s">
        <v>57</v>
      </c>
      <c r="B52" t="s">
        <v>58</v>
      </c>
      <c r="C52" s="32" t="s">
        <v>59</v>
      </c>
      <c r="D52" s="32" t="s">
        <v>60</v>
      </c>
      <c r="E52" s="32" t="s">
        <v>61</v>
      </c>
      <c r="F52" s="32" t="s">
        <v>62</v>
      </c>
      <c r="G52" s="32" t="s">
        <v>63</v>
      </c>
      <c r="H52" s="32" t="s">
        <v>64</v>
      </c>
      <c r="P52" t="s">
        <v>57</v>
      </c>
      <c r="Q52" t="s">
        <v>58</v>
      </c>
      <c r="R52" s="32" t="s">
        <v>59</v>
      </c>
      <c r="S52" s="32" t="s">
        <v>60</v>
      </c>
      <c r="T52" s="32" t="s">
        <v>61</v>
      </c>
      <c r="U52" s="32" t="s">
        <v>62</v>
      </c>
      <c r="V52" s="32" t="s">
        <v>63</v>
      </c>
      <c r="W52" s="32" t="s">
        <v>64</v>
      </c>
    </row>
    <row r="53" ht="14.25" customHeight="1">
      <c r="A53" t="s">
        <v>65</v>
      </c>
      <c r="B53">
        <v>190.0</v>
      </c>
      <c r="C53" s="39">
        <v>0.1815</v>
      </c>
      <c r="D53" s="8" t="str">
        <f t="shared" ref="D53:D64" si="27"> $G$5*C53</f>
        <v>291274</v>
      </c>
      <c r="E53" s="7" t="str">
        <f t="shared" ref="E53:E64" si="28">-0.219+168.48*($B$11)^2/($B$5*($B$12)^2)+1.686*($B$14*B53*$B$11)/($B$5*($B$12)^4)+ 0.1089*$B$10</f>
        <v>1.86</v>
      </c>
      <c r="F53" s="7" t="str">
        <f t="shared" ref="F53:F64" si="29"> E53/($B$13*1.1)</f>
        <v>0.34</v>
      </c>
      <c r="G53" s="8" t="str">
        <f t="shared" ref="G53:G64" si="30"> IF(F53&lt;0.45, "Infinite", IF(F53&lt;0.55, (4.2577/(F53-0.4325))^3.268, "DO"))</f>
        <v>Infinite</v>
      </c>
      <c r="H53" t="str">
        <f t="shared" ref="H53:H64" si="31"> IF(G53= "Infinite",0, D53/G53)</f>
        <v>0</v>
      </c>
      <c r="P53" t="s">
        <v>65</v>
      </c>
      <c r="Q53">
        <v>190.0</v>
      </c>
      <c r="R53" s="39">
        <v>0.1815</v>
      </c>
      <c r="S53" s="8" t="str">
        <f t="shared" ref="S53:S64" si="32"> $G$5*R53</f>
        <v>291274</v>
      </c>
      <c r="T53" s="7" t="str">
        <f t="shared" ref="T53:T64" si="33">-0.219+168.48*($B$11)^2/($B$5*($B$12)^2)+1.686*($B$14*Q53*$B$11)/($B$5*($B$12)^4)+ 0.1089*$B$10</f>
        <v>1.86</v>
      </c>
      <c r="U53" s="7" t="str">
        <f t="shared" ref="U53:U64" si="34"> T53/($B$13*1.1)</f>
        <v>0.34</v>
      </c>
      <c r="V53" s="8" t="str">
        <f t="shared" ref="V53:V64" si="35"> IF(U53&lt;0.45, "Infinite", IF(U53&lt;0.55, (4.2577/(U53-0.4325))^3.268, "DO"))</f>
        <v>Infinite</v>
      </c>
      <c r="W53" t="str">
        <f t="shared" ref="W53:W64" si="36"> IF(V53= "Infinite",0, S53/V53)</f>
        <v>0</v>
      </c>
    </row>
    <row r="54" ht="14.25" customHeight="1">
      <c r="A54" t="s">
        <v>66</v>
      </c>
      <c r="B54">
        <v>180.0</v>
      </c>
      <c r="C54" s="39">
        <v>0.1743</v>
      </c>
      <c r="D54" s="8" t="str">
        <f t="shared" si="27"/>
        <v>279719</v>
      </c>
      <c r="E54" s="7" t="str">
        <f t="shared" si="28"/>
        <v>1.83</v>
      </c>
      <c r="F54" s="7" t="str">
        <f t="shared" si="29"/>
        <v>0.34</v>
      </c>
      <c r="G54" s="8" t="str">
        <f t="shared" si="30"/>
        <v>Infinite</v>
      </c>
      <c r="H54" t="str">
        <f t="shared" si="31"/>
        <v>0</v>
      </c>
      <c r="P54" t="s">
        <v>66</v>
      </c>
      <c r="Q54">
        <v>180.0</v>
      </c>
      <c r="R54" s="39">
        <v>0.1743</v>
      </c>
      <c r="S54" s="8" t="str">
        <f t="shared" si="32"/>
        <v>279719</v>
      </c>
      <c r="T54" s="7" t="str">
        <f t="shared" si="33"/>
        <v>1.83</v>
      </c>
      <c r="U54" s="7" t="str">
        <f t="shared" si="34"/>
        <v>0.34</v>
      </c>
      <c r="V54" s="8" t="str">
        <f t="shared" si="35"/>
        <v>Infinite</v>
      </c>
      <c r="W54" t="str">
        <f t="shared" si="36"/>
        <v>0</v>
      </c>
    </row>
    <row r="55" ht="14.25" customHeight="1">
      <c r="A55" t="s">
        <v>67</v>
      </c>
      <c r="B55">
        <v>170.0</v>
      </c>
      <c r="C55" s="39">
        <v>0.1827</v>
      </c>
      <c r="D55" s="8" t="str">
        <f t="shared" si="27"/>
        <v>293200</v>
      </c>
      <c r="E55" s="7" t="str">
        <f t="shared" si="28"/>
        <v>1.80</v>
      </c>
      <c r="F55" s="7" t="str">
        <f t="shared" si="29"/>
        <v>0.33</v>
      </c>
      <c r="G55" s="8" t="str">
        <f t="shared" si="30"/>
        <v>Infinite</v>
      </c>
      <c r="H55" t="str">
        <f t="shared" si="31"/>
        <v>0</v>
      </c>
      <c r="P55" t="s">
        <v>67</v>
      </c>
      <c r="Q55">
        <v>170.0</v>
      </c>
      <c r="R55" s="39">
        <v>0.1827</v>
      </c>
      <c r="S55" s="8" t="str">
        <f t="shared" si="32"/>
        <v>293200</v>
      </c>
      <c r="T55" s="7" t="str">
        <f t="shared" si="33"/>
        <v>1.80</v>
      </c>
      <c r="U55" s="7" t="str">
        <f t="shared" si="34"/>
        <v>0.33</v>
      </c>
      <c r="V55" s="8" t="str">
        <f t="shared" si="35"/>
        <v>Infinite</v>
      </c>
      <c r="W55" t="str">
        <f t="shared" si="36"/>
        <v>0</v>
      </c>
    </row>
    <row r="56" ht="14.25" customHeight="1">
      <c r="A56" t="s">
        <v>68</v>
      </c>
      <c r="B56">
        <v>160.0</v>
      </c>
      <c r="C56" s="39">
        <v>0.1298</v>
      </c>
      <c r="D56" s="8" t="str">
        <f t="shared" si="27"/>
        <v>208305</v>
      </c>
      <c r="E56" s="7" t="str">
        <f t="shared" si="28"/>
        <v>1.78</v>
      </c>
      <c r="F56" s="7" t="str">
        <f t="shared" si="29"/>
        <v>0.33</v>
      </c>
      <c r="G56" s="8" t="str">
        <f t="shared" si="30"/>
        <v>Infinite</v>
      </c>
      <c r="H56" t="str">
        <f t="shared" si="31"/>
        <v>0</v>
      </c>
      <c r="P56" t="s">
        <v>68</v>
      </c>
      <c r="Q56">
        <v>160.0</v>
      </c>
      <c r="R56" s="39">
        <v>0.1298</v>
      </c>
      <c r="S56" s="8" t="str">
        <f t="shared" si="32"/>
        <v>208305</v>
      </c>
      <c r="T56" s="7" t="str">
        <f t="shared" si="33"/>
        <v>1.78</v>
      </c>
      <c r="U56" s="7" t="str">
        <f t="shared" si="34"/>
        <v>0.33</v>
      </c>
      <c r="V56" s="8" t="str">
        <f t="shared" si="35"/>
        <v>Infinite</v>
      </c>
      <c r="W56" t="str">
        <f t="shared" si="36"/>
        <v>0</v>
      </c>
    </row>
    <row r="57" ht="14.25" customHeight="1">
      <c r="A57" t="s">
        <v>69</v>
      </c>
      <c r="B57">
        <v>150.0</v>
      </c>
      <c r="C57" s="39">
        <v>0.07</v>
      </c>
      <c r="D57" s="8" t="str">
        <f t="shared" si="27"/>
        <v>112337</v>
      </c>
      <c r="E57" s="7" t="str">
        <f t="shared" si="28"/>
        <v>1.75</v>
      </c>
      <c r="F57" s="7" t="str">
        <f t="shared" si="29"/>
        <v>0.32</v>
      </c>
      <c r="G57" s="8" t="str">
        <f t="shared" si="30"/>
        <v>Infinite</v>
      </c>
      <c r="H57" t="str">
        <f t="shared" si="31"/>
        <v>0</v>
      </c>
      <c r="P57" t="s">
        <v>69</v>
      </c>
      <c r="Q57">
        <v>150.0</v>
      </c>
      <c r="R57" s="39">
        <v>0.01</v>
      </c>
      <c r="S57" s="8" t="str">
        <f t="shared" si="32"/>
        <v>16048</v>
      </c>
      <c r="T57" s="7" t="str">
        <f t="shared" si="33"/>
        <v>1.75</v>
      </c>
      <c r="U57" s="7" t="str">
        <f t="shared" si="34"/>
        <v>0.32</v>
      </c>
      <c r="V57" s="8" t="str">
        <f t="shared" si="35"/>
        <v>Infinite</v>
      </c>
      <c r="W57" t="str">
        <f t="shared" si="36"/>
        <v>0</v>
      </c>
    </row>
    <row r="58" ht="14.25" customHeight="1">
      <c r="A58" t="s">
        <v>70</v>
      </c>
      <c r="B58">
        <v>140.0</v>
      </c>
      <c r="C58" s="39">
        <v>0.0162</v>
      </c>
      <c r="D58" s="8" t="str">
        <f t="shared" si="27"/>
        <v>25998</v>
      </c>
      <c r="E58" s="7" t="str">
        <f t="shared" si="28"/>
        <v>1.73</v>
      </c>
      <c r="F58" s="7" t="str">
        <f t="shared" si="29"/>
        <v>0.32</v>
      </c>
      <c r="G58" s="8" t="str">
        <f t="shared" si="30"/>
        <v>Infinite</v>
      </c>
      <c r="H58" t="str">
        <f t="shared" si="31"/>
        <v>0</v>
      </c>
      <c r="P58" t="s">
        <v>70</v>
      </c>
      <c r="Q58">
        <v>140.0</v>
      </c>
      <c r="R58" s="39">
        <v>0.0162</v>
      </c>
      <c r="S58" s="8" t="str">
        <f t="shared" si="32"/>
        <v>25998</v>
      </c>
      <c r="T58" s="7" t="str">
        <f t="shared" si="33"/>
        <v>1.73</v>
      </c>
      <c r="U58" s="7" t="str">
        <f t="shared" si="34"/>
        <v>0.32</v>
      </c>
      <c r="V58" s="8" t="str">
        <f t="shared" si="35"/>
        <v>Infinite</v>
      </c>
      <c r="W58" t="str">
        <f t="shared" si="36"/>
        <v>0</v>
      </c>
    </row>
    <row r="59" ht="14.25" customHeight="1">
      <c r="A59" t="s">
        <v>71</v>
      </c>
      <c r="B59">
        <v>130.0</v>
      </c>
      <c r="C59" s="39">
        <v>0.0262</v>
      </c>
      <c r="D59" s="8" t="str">
        <f t="shared" si="27"/>
        <v>42046</v>
      </c>
      <c r="E59" s="7" t="str">
        <f t="shared" si="28"/>
        <v>1.70</v>
      </c>
      <c r="F59" s="7" t="str">
        <f t="shared" si="29"/>
        <v>0.32</v>
      </c>
      <c r="G59" s="8" t="str">
        <f t="shared" si="30"/>
        <v>Infinite</v>
      </c>
      <c r="H59" t="str">
        <f t="shared" si="31"/>
        <v>0</v>
      </c>
      <c r="P59" t="s">
        <v>71</v>
      </c>
      <c r="Q59">
        <v>130.0</v>
      </c>
      <c r="R59" s="39">
        <v>0.0262</v>
      </c>
      <c r="S59" s="8" t="str">
        <f t="shared" si="32"/>
        <v>42046</v>
      </c>
      <c r="T59" s="7" t="str">
        <f t="shared" si="33"/>
        <v>1.70</v>
      </c>
      <c r="U59" s="7" t="str">
        <f t="shared" si="34"/>
        <v>0.32</v>
      </c>
      <c r="V59" s="8" t="str">
        <f t="shared" si="35"/>
        <v>Infinite</v>
      </c>
      <c r="W59" t="str">
        <f t="shared" si="36"/>
        <v>0</v>
      </c>
    </row>
    <row r="60" ht="14.25" customHeight="1">
      <c r="A60" t="s">
        <v>72</v>
      </c>
      <c r="B60">
        <v>120.0</v>
      </c>
      <c r="C60" s="39">
        <v>0.0265</v>
      </c>
      <c r="D60" s="8" t="str">
        <f t="shared" si="27"/>
        <v>42528</v>
      </c>
      <c r="E60" s="7" t="str">
        <f t="shared" si="28"/>
        <v>1.67</v>
      </c>
      <c r="F60" s="7" t="str">
        <f t="shared" si="29"/>
        <v>0.31</v>
      </c>
      <c r="G60" s="8" t="str">
        <f t="shared" si="30"/>
        <v>Infinite</v>
      </c>
      <c r="H60" t="str">
        <f t="shared" si="31"/>
        <v>0</v>
      </c>
      <c r="P60" t="s">
        <v>72</v>
      </c>
      <c r="Q60">
        <v>120.0</v>
      </c>
      <c r="R60" s="39">
        <v>0.0265</v>
      </c>
      <c r="S60" s="8" t="str">
        <f t="shared" si="32"/>
        <v>42528</v>
      </c>
      <c r="T60" s="7" t="str">
        <f t="shared" si="33"/>
        <v>1.67</v>
      </c>
      <c r="U60" s="7" t="str">
        <f t="shared" si="34"/>
        <v>0.31</v>
      </c>
      <c r="V60" s="8" t="str">
        <f t="shared" si="35"/>
        <v>Infinite</v>
      </c>
      <c r="W60" t="str">
        <f t="shared" si="36"/>
        <v>0</v>
      </c>
    </row>
    <row r="61" ht="14.25" customHeight="1">
      <c r="A61" t="s">
        <v>73</v>
      </c>
      <c r="B61">
        <v>110.0</v>
      </c>
      <c r="C61" s="39">
        <v>0.0265</v>
      </c>
      <c r="D61" s="8" t="str">
        <f t="shared" si="27"/>
        <v>42528</v>
      </c>
      <c r="E61" s="7" t="str">
        <f t="shared" si="28"/>
        <v>1.65</v>
      </c>
      <c r="F61" s="7" t="str">
        <f t="shared" si="29"/>
        <v>0.31</v>
      </c>
      <c r="G61" s="8" t="str">
        <f t="shared" si="30"/>
        <v>Infinite</v>
      </c>
      <c r="H61" t="str">
        <f t="shared" si="31"/>
        <v>0</v>
      </c>
      <c r="P61" t="s">
        <v>73</v>
      </c>
      <c r="Q61">
        <v>110.0</v>
      </c>
      <c r="R61" s="39">
        <v>0.0265</v>
      </c>
      <c r="S61" s="8" t="str">
        <f t="shared" si="32"/>
        <v>42528</v>
      </c>
      <c r="T61" s="7" t="str">
        <f t="shared" si="33"/>
        <v>1.65</v>
      </c>
      <c r="U61" s="7" t="str">
        <f t="shared" si="34"/>
        <v>0.31</v>
      </c>
      <c r="V61" s="8" t="str">
        <f t="shared" si="35"/>
        <v>Infinite</v>
      </c>
      <c r="W61" t="str">
        <f t="shared" si="36"/>
        <v>0</v>
      </c>
    </row>
    <row r="62" ht="14.25" customHeight="1">
      <c r="A62" t="s">
        <v>74</v>
      </c>
      <c r="B62">
        <v>100.0</v>
      </c>
      <c r="C62" s="39">
        <v>0.0325</v>
      </c>
      <c r="D62" s="8" t="str">
        <f t="shared" si="27"/>
        <v>52156</v>
      </c>
      <c r="E62" s="7" t="str">
        <f t="shared" si="28"/>
        <v>1.62</v>
      </c>
      <c r="F62" s="7" t="str">
        <f t="shared" si="29"/>
        <v>0.30</v>
      </c>
      <c r="G62" s="8" t="str">
        <f t="shared" si="30"/>
        <v>Infinite</v>
      </c>
      <c r="H62" t="str">
        <f t="shared" si="31"/>
        <v>0</v>
      </c>
      <c r="P62" t="s">
        <v>74</v>
      </c>
      <c r="Q62">
        <v>100.0</v>
      </c>
      <c r="R62" s="39">
        <v>0.0325</v>
      </c>
      <c r="S62" s="8" t="str">
        <f t="shared" si="32"/>
        <v>52156</v>
      </c>
      <c r="T62" s="7" t="str">
        <f t="shared" si="33"/>
        <v>1.62</v>
      </c>
      <c r="U62" s="7" t="str">
        <f t="shared" si="34"/>
        <v>0.30</v>
      </c>
      <c r="V62" s="8" t="str">
        <f t="shared" si="35"/>
        <v>Infinite</v>
      </c>
      <c r="W62" t="str">
        <f t="shared" si="36"/>
        <v>0</v>
      </c>
    </row>
    <row r="63" ht="14.25" customHeight="1">
      <c r="A63" t="s">
        <v>75</v>
      </c>
      <c r="B63">
        <v>90.0</v>
      </c>
      <c r="C63" s="39">
        <v>0.0325</v>
      </c>
      <c r="D63" s="8" t="str">
        <f t="shared" si="27"/>
        <v>52156</v>
      </c>
      <c r="E63" s="7" t="str">
        <f t="shared" si="28"/>
        <v>1.60</v>
      </c>
      <c r="F63" s="7" t="str">
        <f t="shared" si="29"/>
        <v>0.30</v>
      </c>
      <c r="G63" s="8" t="str">
        <f t="shared" si="30"/>
        <v>Infinite</v>
      </c>
      <c r="H63" t="str">
        <f t="shared" si="31"/>
        <v>0</v>
      </c>
      <c r="P63" t="s">
        <v>75</v>
      </c>
      <c r="Q63">
        <v>90.0</v>
      </c>
      <c r="R63" s="39">
        <v>0.0325</v>
      </c>
      <c r="S63" s="8" t="str">
        <f t="shared" si="32"/>
        <v>52156</v>
      </c>
      <c r="T63" s="7" t="str">
        <f t="shared" si="33"/>
        <v>1.60</v>
      </c>
      <c r="U63" s="7" t="str">
        <f t="shared" si="34"/>
        <v>0.30</v>
      </c>
      <c r="V63" s="8" t="str">
        <f t="shared" si="35"/>
        <v>Infinite</v>
      </c>
      <c r="W63" t="str">
        <f t="shared" si="36"/>
        <v>0</v>
      </c>
    </row>
    <row r="64" ht="14.25" customHeight="1">
      <c r="A64" t="s">
        <v>76</v>
      </c>
      <c r="B64">
        <v>85.0</v>
      </c>
      <c r="C64" s="39">
        <v>0.1013</v>
      </c>
      <c r="D64" s="8" t="str">
        <f t="shared" si="27"/>
        <v>162568</v>
      </c>
      <c r="E64" s="7" t="str">
        <f t="shared" si="28"/>
        <v>1.58</v>
      </c>
      <c r="F64" s="7" t="str">
        <f t="shared" si="29"/>
        <v>0.29</v>
      </c>
      <c r="G64" s="8" t="str">
        <f t="shared" si="30"/>
        <v>Infinite</v>
      </c>
      <c r="H64" t="str">
        <f t="shared" si="31"/>
        <v>0</v>
      </c>
      <c r="P64" t="s">
        <v>76</v>
      </c>
      <c r="Q64">
        <v>85.0</v>
      </c>
      <c r="R64" s="39">
        <v>0.1613</v>
      </c>
      <c r="S64" s="8" t="str">
        <f t="shared" si="32"/>
        <v>258857</v>
      </c>
      <c r="T64" s="7" t="str">
        <f t="shared" si="33"/>
        <v>1.58</v>
      </c>
      <c r="U64" s="7" t="str">
        <f t="shared" si="34"/>
        <v>0.29</v>
      </c>
      <c r="V64" s="8" t="str">
        <f t="shared" si="35"/>
        <v>Infinite</v>
      </c>
      <c r="W64" t="str">
        <f t="shared" si="36"/>
        <v>0</v>
      </c>
    </row>
    <row r="65" ht="14.25" customHeight="1">
      <c r="A65" t="s">
        <v>77</v>
      </c>
      <c r="B65" s="8" t="str">
        <f> SUM(D53,D54,D55,D56,D57,D58,D59,D60,D61,D62,D63,D64)</f>
        <v>1604815</v>
      </c>
      <c r="C65" s="38" t="s">
        <v>78</v>
      </c>
      <c r="H65" t="str">
        <f> SUM(H53,H54,H55,H56,H57,H58,H59,H60,H61,H62,H63,H64)</f>
        <v>0</v>
      </c>
      <c r="P65" t="s">
        <v>77</v>
      </c>
      <c r="Q65" s="8" t="str">
        <f> SUM(S53,S54,S55,S56,S57,S58,S59,S60,S61,S62,S63,S64)</f>
        <v>1604815</v>
      </c>
      <c r="R65" s="38" t="s">
        <v>78</v>
      </c>
      <c r="W65" t="str">
        <f> SUM(W53,W54,W55,W56,W57,W58,W59,W60,W61,W62,W63,W64)</f>
        <v>0</v>
      </c>
    </row>
    <row r="66" ht="14.25" customHeight="1">
      <c r="A66" s="38" t="s">
        <v>79</v>
      </c>
      <c r="P66" s="38" t="s">
        <v>79</v>
      </c>
    </row>
    <row r="67" ht="14.25" customHeight="1">
      <c r="A67" t="s">
        <v>57</v>
      </c>
      <c r="B67" t="s">
        <v>58</v>
      </c>
      <c r="C67" s="32" t="s">
        <v>59</v>
      </c>
      <c r="D67" s="32" t="s">
        <v>60</v>
      </c>
      <c r="E67" s="32" t="s">
        <v>61</v>
      </c>
      <c r="F67" s="32" t="s">
        <v>62</v>
      </c>
      <c r="G67" s="32" t="s">
        <v>63</v>
      </c>
      <c r="H67" s="32" t="s">
        <v>64</v>
      </c>
      <c r="P67" t="s">
        <v>57</v>
      </c>
      <c r="Q67" t="s">
        <v>58</v>
      </c>
      <c r="R67" s="32" t="s">
        <v>59</v>
      </c>
      <c r="S67" s="32" t="s">
        <v>60</v>
      </c>
      <c r="T67" s="32" t="s">
        <v>61</v>
      </c>
      <c r="U67" s="32" t="s">
        <v>62</v>
      </c>
      <c r="V67" s="32" t="s">
        <v>63</v>
      </c>
      <c r="W67" s="32" t="s">
        <v>64</v>
      </c>
    </row>
    <row r="68" ht="14.25" customHeight="1">
      <c r="A68" t="s">
        <v>80</v>
      </c>
      <c r="B68">
        <v>390.0</v>
      </c>
      <c r="C68" s="39">
        <v>0.145</v>
      </c>
      <c r="D68" s="8" t="str">
        <f t="shared" ref="D68:D79" si="37"> $G$6*C68</f>
        <v>287451</v>
      </c>
      <c r="E68" s="7" t="str">
        <f t="shared" ref="E68:E79" si="38"> -0.219+168.48*($B$11)^2/($B$5*($B$12)^2)+1.686*($B$14*B68*$B$11)/($B$5*($B$12)^4)+ 0.1089*$B$10</f>
        <v>2.37</v>
      </c>
      <c r="F68" s="7" t="str">
        <f t="shared" ref="F68:F79" si="39"> E68/($B$13*1.1)</f>
        <v>0.44</v>
      </c>
      <c r="G68" s="8" t="str">
        <f t="shared" ref="G68:G79" si="40"> IF(F68&lt;0.45, "Infinite", IF(F68&lt;0.55, (4.2577/(F68-0.4325))^3.268,10^( (0.9718-F68)/0.0828)))</f>
        <v>Infinite</v>
      </c>
      <c r="H68" t="str">
        <f t="shared" ref="H68:H79" si="41"> IF(G68= "Infinite",0, D68/G68)</f>
        <v>0</v>
      </c>
      <c r="P68" t="s">
        <v>80</v>
      </c>
      <c r="Q68">
        <v>390.0</v>
      </c>
      <c r="R68" s="39">
        <v>0.145</v>
      </c>
      <c r="S68" s="8" t="str">
        <f t="shared" ref="S68:S79" si="42"> $G$6*R68</f>
        <v>287451</v>
      </c>
      <c r="T68" s="7" t="str">
        <f t="shared" ref="T68:T79" si="43"> -0.219+168.48*($B$11)^2/($B$5*($B$12)^2)+1.686*($B$14*Q68*$B$11)/($B$5*($B$12)^4)+ 0.1089*$B$10</f>
        <v>2.37</v>
      </c>
      <c r="U68" s="7" t="str">
        <f t="shared" ref="U68:U79" si="44"> T68/($B$13*1.1)</f>
        <v>0.44</v>
      </c>
      <c r="V68" s="8" t="str">
        <f t="shared" ref="V68:V79" si="45"> IF(U68&lt;0.45, "Infinite", IF(U68&lt;0.55, (4.2577/(U68-0.4325))^3.268,10^( (0.9718-U68)/0.0828)))</f>
        <v>Infinite</v>
      </c>
      <c r="W68" t="str">
        <f t="shared" ref="W68:W79" si="46"> IF(V68= "Infinite",0, S68/V68)</f>
        <v>0</v>
      </c>
    </row>
    <row r="69" ht="14.25" customHeight="1">
      <c r="A69" t="s">
        <v>81</v>
      </c>
      <c r="B69">
        <v>370.0</v>
      </c>
      <c r="C69" s="39">
        <v>0.105</v>
      </c>
      <c r="D69" s="8" t="str">
        <f t="shared" si="37"/>
        <v>208154</v>
      </c>
      <c r="E69" s="7" t="str">
        <f t="shared" si="38"/>
        <v>2.32</v>
      </c>
      <c r="F69" s="7" t="str">
        <f t="shared" si="39"/>
        <v>0.43</v>
      </c>
      <c r="G69" s="8" t="str">
        <f t="shared" si="40"/>
        <v>Infinite</v>
      </c>
      <c r="H69" t="str">
        <f t="shared" si="41"/>
        <v>0</v>
      </c>
      <c r="P69" t="s">
        <v>81</v>
      </c>
      <c r="Q69">
        <v>370.0</v>
      </c>
      <c r="R69" s="39">
        <v>0.105</v>
      </c>
      <c r="S69" s="8" t="str">
        <f t="shared" si="42"/>
        <v>208154</v>
      </c>
      <c r="T69" s="7" t="str">
        <f t="shared" si="43"/>
        <v>2.32</v>
      </c>
      <c r="U69" s="7" t="str">
        <f t="shared" si="44"/>
        <v>0.43</v>
      </c>
      <c r="V69" s="8" t="str">
        <f t="shared" si="45"/>
        <v>Infinite</v>
      </c>
      <c r="W69" t="str">
        <f t="shared" si="46"/>
        <v>0</v>
      </c>
    </row>
    <row r="70" ht="14.25" customHeight="1">
      <c r="A70" t="s">
        <v>82</v>
      </c>
      <c r="B70">
        <v>350.0</v>
      </c>
      <c r="C70" s="39">
        <v>0.07</v>
      </c>
      <c r="D70" s="8" t="str">
        <f t="shared" si="37"/>
        <v>138769</v>
      </c>
      <c r="E70" s="7" t="str">
        <f t="shared" si="38"/>
        <v>2.27</v>
      </c>
      <c r="F70" s="7" t="str">
        <f t="shared" si="39"/>
        <v>0.42</v>
      </c>
      <c r="G70" s="8" t="str">
        <f t="shared" si="40"/>
        <v>Infinite</v>
      </c>
      <c r="H70" t="str">
        <f t="shared" si="41"/>
        <v>0</v>
      </c>
      <c r="P70" t="s">
        <v>82</v>
      </c>
      <c r="Q70">
        <v>350.0</v>
      </c>
      <c r="R70" s="39">
        <v>0.01</v>
      </c>
      <c r="S70" s="8" t="str">
        <f t="shared" si="42"/>
        <v>19824</v>
      </c>
      <c r="T70" s="7" t="str">
        <f t="shared" si="43"/>
        <v>2.27</v>
      </c>
      <c r="U70" s="7" t="str">
        <f t="shared" si="44"/>
        <v>0.42</v>
      </c>
      <c r="V70" s="8" t="str">
        <f t="shared" si="45"/>
        <v>Infinite</v>
      </c>
      <c r="W70" t="str">
        <f t="shared" si="46"/>
        <v>0</v>
      </c>
    </row>
    <row r="71" ht="14.25" customHeight="1">
      <c r="A71" t="s">
        <v>83</v>
      </c>
      <c r="B71">
        <v>330.0</v>
      </c>
      <c r="C71" s="39">
        <v>0.025</v>
      </c>
      <c r="D71" s="8" t="str">
        <f t="shared" si="37"/>
        <v>49560</v>
      </c>
      <c r="E71" s="7" t="str">
        <f t="shared" si="38"/>
        <v>2.22</v>
      </c>
      <c r="F71" s="7" t="str">
        <f t="shared" si="39"/>
        <v>0.41</v>
      </c>
      <c r="G71" s="8" t="str">
        <f t="shared" si="40"/>
        <v>Infinite</v>
      </c>
      <c r="H71" t="str">
        <f t="shared" si="41"/>
        <v>0</v>
      </c>
      <c r="P71" t="s">
        <v>83</v>
      </c>
      <c r="Q71">
        <v>330.0</v>
      </c>
      <c r="R71" s="39">
        <v>0.025</v>
      </c>
      <c r="S71" s="8" t="str">
        <f t="shared" si="42"/>
        <v>49560</v>
      </c>
      <c r="T71" s="7" t="str">
        <f t="shared" si="43"/>
        <v>2.22</v>
      </c>
      <c r="U71" s="7" t="str">
        <f t="shared" si="44"/>
        <v>0.41</v>
      </c>
      <c r="V71" s="8" t="str">
        <f t="shared" si="45"/>
        <v>Infinite</v>
      </c>
      <c r="W71" t="str">
        <f t="shared" si="46"/>
        <v>0</v>
      </c>
    </row>
    <row r="72" ht="14.25" customHeight="1">
      <c r="A72" t="s">
        <v>84</v>
      </c>
      <c r="B72">
        <v>310.0</v>
      </c>
      <c r="C72" s="39">
        <v>0.0269</v>
      </c>
      <c r="D72" s="8" t="str">
        <f t="shared" si="37"/>
        <v>53327</v>
      </c>
      <c r="E72" s="7" t="str">
        <f t="shared" si="38"/>
        <v>2.17</v>
      </c>
      <c r="F72" s="7" t="str">
        <f t="shared" si="39"/>
        <v>0.40</v>
      </c>
      <c r="G72" s="8" t="str">
        <f t="shared" si="40"/>
        <v>Infinite</v>
      </c>
      <c r="H72" t="str">
        <f t="shared" si="41"/>
        <v>0</v>
      </c>
      <c r="P72" t="s">
        <v>84</v>
      </c>
      <c r="Q72">
        <v>310.0</v>
      </c>
      <c r="R72" s="39">
        <v>0.0269</v>
      </c>
      <c r="S72" s="8" t="str">
        <f t="shared" si="42"/>
        <v>53327</v>
      </c>
      <c r="T72" s="7" t="str">
        <f t="shared" si="43"/>
        <v>2.17</v>
      </c>
      <c r="U72" s="7" t="str">
        <f t="shared" si="44"/>
        <v>0.40</v>
      </c>
      <c r="V72" s="8" t="str">
        <f t="shared" si="45"/>
        <v>Infinite</v>
      </c>
      <c r="W72" t="str">
        <f t="shared" si="46"/>
        <v>0</v>
      </c>
    </row>
    <row r="73" ht="14.25" customHeight="1">
      <c r="A73" t="s">
        <v>85</v>
      </c>
      <c r="B73">
        <v>290.0</v>
      </c>
      <c r="C73" s="39">
        <v>0.0126</v>
      </c>
      <c r="D73" s="8" t="str">
        <f t="shared" si="37"/>
        <v>24978</v>
      </c>
      <c r="E73" s="7" t="str">
        <f t="shared" si="38"/>
        <v>2.11</v>
      </c>
      <c r="F73" s="7" t="str">
        <f t="shared" si="39"/>
        <v>0.39</v>
      </c>
      <c r="G73" s="8" t="str">
        <f t="shared" si="40"/>
        <v>Infinite</v>
      </c>
      <c r="H73" t="str">
        <f t="shared" si="41"/>
        <v>0</v>
      </c>
      <c r="P73" t="s">
        <v>85</v>
      </c>
      <c r="Q73">
        <v>290.0</v>
      </c>
      <c r="R73" s="39">
        <v>0.0126</v>
      </c>
      <c r="S73" s="8" t="str">
        <f t="shared" si="42"/>
        <v>24978</v>
      </c>
      <c r="T73" s="7" t="str">
        <f t="shared" si="43"/>
        <v>2.11</v>
      </c>
      <c r="U73" s="7" t="str">
        <f t="shared" si="44"/>
        <v>0.39</v>
      </c>
      <c r="V73" s="8" t="str">
        <f t="shared" si="45"/>
        <v>Infinite</v>
      </c>
      <c r="W73" t="str">
        <f t="shared" si="46"/>
        <v>0</v>
      </c>
    </row>
    <row r="74" ht="14.25" customHeight="1">
      <c r="A74" t="s">
        <v>86</v>
      </c>
      <c r="B74">
        <v>270.0</v>
      </c>
      <c r="C74" s="39">
        <v>0.039</v>
      </c>
      <c r="D74" s="8" t="str">
        <f t="shared" si="37"/>
        <v>77314</v>
      </c>
      <c r="E74" s="7" t="str">
        <f t="shared" si="38"/>
        <v>2.06</v>
      </c>
      <c r="F74" s="7" t="str">
        <f t="shared" si="39"/>
        <v>0.38</v>
      </c>
      <c r="G74" s="8" t="str">
        <f t="shared" si="40"/>
        <v>Infinite</v>
      </c>
      <c r="H74" t="str">
        <f t="shared" si="41"/>
        <v>0</v>
      </c>
      <c r="P74" t="s">
        <v>86</v>
      </c>
      <c r="Q74">
        <v>270.0</v>
      </c>
      <c r="R74" s="39">
        <v>0.039</v>
      </c>
      <c r="S74" s="8" t="str">
        <f t="shared" si="42"/>
        <v>77314</v>
      </c>
      <c r="T74" s="7" t="str">
        <f t="shared" si="43"/>
        <v>2.06</v>
      </c>
      <c r="U74" s="7" t="str">
        <f t="shared" si="44"/>
        <v>0.38</v>
      </c>
      <c r="V74" s="8" t="str">
        <f t="shared" si="45"/>
        <v>Infinite</v>
      </c>
      <c r="W74" t="str">
        <f t="shared" si="46"/>
        <v>0</v>
      </c>
    </row>
    <row r="75" ht="14.25" customHeight="1">
      <c r="A75" t="s">
        <v>87</v>
      </c>
      <c r="B75">
        <v>250.0</v>
      </c>
      <c r="C75" s="39">
        <v>0.0519</v>
      </c>
      <c r="D75" s="8" t="str">
        <f t="shared" si="37"/>
        <v>102888</v>
      </c>
      <c r="E75" s="7" t="str">
        <f t="shared" si="38"/>
        <v>2.01</v>
      </c>
      <c r="F75" s="7" t="str">
        <f t="shared" si="39"/>
        <v>0.37</v>
      </c>
      <c r="G75" s="8" t="str">
        <f t="shared" si="40"/>
        <v>Infinite</v>
      </c>
      <c r="H75" t="str">
        <f t="shared" si="41"/>
        <v>0</v>
      </c>
      <c r="P75" t="s">
        <v>87</v>
      </c>
      <c r="Q75">
        <v>250.0</v>
      </c>
      <c r="R75" s="39">
        <v>0.0519</v>
      </c>
      <c r="S75" s="8" t="str">
        <f t="shared" si="42"/>
        <v>102888</v>
      </c>
      <c r="T75" s="7" t="str">
        <f t="shared" si="43"/>
        <v>2.01</v>
      </c>
      <c r="U75" s="7" t="str">
        <f t="shared" si="44"/>
        <v>0.37</v>
      </c>
      <c r="V75" s="8" t="str">
        <f t="shared" si="45"/>
        <v>Infinite</v>
      </c>
      <c r="W75" t="str">
        <f t="shared" si="46"/>
        <v>0</v>
      </c>
    </row>
    <row r="76" ht="14.25" customHeight="1">
      <c r="A76" t="s">
        <v>88</v>
      </c>
      <c r="B76">
        <v>230.0</v>
      </c>
      <c r="C76" s="39">
        <v>0.063</v>
      </c>
      <c r="D76" s="8" t="str">
        <f t="shared" si="37"/>
        <v>124892</v>
      </c>
      <c r="E76" s="7" t="str">
        <f t="shared" si="38"/>
        <v>1.96</v>
      </c>
      <c r="F76" s="7" t="str">
        <f t="shared" si="39"/>
        <v>0.36</v>
      </c>
      <c r="G76" s="8" t="str">
        <f t="shared" si="40"/>
        <v>Infinite</v>
      </c>
      <c r="H76" t="str">
        <f t="shared" si="41"/>
        <v>0</v>
      </c>
      <c r="P76" t="s">
        <v>88</v>
      </c>
      <c r="Q76">
        <v>230.0</v>
      </c>
      <c r="R76" s="39">
        <v>0.063</v>
      </c>
      <c r="S76" s="8" t="str">
        <f t="shared" si="42"/>
        <v>124892</v>
      </c>
      <c r="T76" s="7" t="str">
        <f t="shared" si="43"/>
        <v>1.96</v>
      </c>
      <c r="U76" s="7" t="str">
        <f t="shared" si="44"/>
        <v>0.36</v>
      </c>
      <c r="V76" s="8" t="str">
        <f t="shared" si="45"/>
        <v>Infinite</v>
      </c>
      <c r="W76" t="str">
        <f t="shared" si="46"/>
        <v>0</v>
      </c>
    </row>
    <row r="77" ht="14.25" customHeight="1">
      <c r="A77" t="s">
        <v>89</v>
      </c>
      <c r="B77">
        <v>210.0</v>
      </c>
      <c r="C77" s="39">
        <v>0.064</v>
      </c>
      <c r="D77" s="8" t="str">
        <f t="shared" si="37"/>
        <v>126875</v>
      </c>
      <c r="E77" s="7" t="str">
        <f t="shared" si="38"/>
        <v>1.91</v>
      </c>
      <c r="F77" s="7" t="str">
        <f t="shared" si="39"/>
        <v>0.35</v>
      </c>
      <c r="G77" s="8" t="str">
        <f t="shared" si="40"/>
        <v>Infinite</v>
      </c>
      <c r="H77" t="str">
        <f t="shared" si="41"/>
        <v>0</v>
      </c>
      <c r="P77" t="s">
        <v>89</v>
      </c>
      <c r="Q77">
        <v>210.0</v>
      </c>
      <c r="R77" s="39">
        <v>0.064</v>
      </c>
      <c r="S77" s="8" t="str">
        <f t="shared" si="42"/>
        <v>126875</v>
      </c>
      <c r="T77" s="7" t="str">
        <f t="shared" si="43"/>
        <v>1.91</v>
      </c>
      <c r="U77" s="7" t="str">
        <f t="shared" si="44"/>
        <v>0.35</v>
      </c>
      <c r="V77" s="8" t="str">
        <f t="shared" si="45"/>
        <v>Infinite</v>
      </c>
      <c r="W77" t="str">
        <f t="shared" si="46"/>
        <v>0</v>
      </c>
    </row>
    <row r="78" ht="14.25" customHeight="1">
      <c r="A78" t="s">
        <v>90</v>
      </c>
      <c r="B78">
        <v>190.0</v>
      </c>
      <c r="C78" s="39">
        <v>0.0553</v>
      </c>
      <c r="D78" s="8" t="str">
        <f t="shared" si="37"/>
        <v>109628</v>
      </c>
      <c r="E78" s="7" t="str">
        <f t="shared" si="38"/>
        <v>1.86</v>
      </c>
      <c r="F78" s="7" t="str">
        <f t="shared" si="39"/>
        <v>0.34</v>
      </c>
      <c r="G78" s="8" t="str">
        <f t="shared" si="40"/>
        <v>Infinite</v>
      </c>
      <c r="H78" t="str">
        <f t="shared" si="41"/>
        <v>0</v>
      </c>
      <c r="P78" t="s">
        <v>90</v>
      </c>
      <c r="Q78">
        <v>190.0</v>
      </c>
      <c r="R78" s="39">
        <v>0.1153</v>
      </c>
      <c r="S78" s="8" t="str">
        <f t="shared" si="42"/>
        <v>228573</v>
      </c>
      <c r="T78" s="7" t="str">
        <f t="shared" si="43"/>
        <v>1.86</v>
      </c>
      <c r="U78" s="7" t="str">
        <f t="shared" si="44"/>
        <v>0.34</v>
      </c>
      <c r="V78" s="8" t="str">
        <f t="shared" si="45"/>
        <v>Infinite</v>
      </c>
      <c r="W78" t="str">
        <f t="shared" si="46"/>
        <v>0</v>
      </c>
    </row>
    <row r="79" ht="14.25" customHeight="1">
      <c r="A79" t="s">
        <v>91</v>
      </c>
      <c r="B79">
        <v>180.0</v>
      </c>
      <c r="C79" s="39">
        <v>0.3423</v>
      </c>
      <c r="D79" s="8" t="str">
        <f t="shared" si="37"/>
        <v>678582</v>
      </c>
      <c r="E79" s="7" t="str">
        <f t="shared" si="38"/>
        <v>1.83</v>
      </c>
      <c r="F79" s="7" t="str">
        <f t="shared" si="39"/>
        <v>0.34</v>
      </c>
      <c r="G79" s="8" t="str">
        <f t="shared" si="40"/>
        <v>Infinite</v>
      </c>
      <c r="H79" t="str">
        <f t="shared" si="41"/>
        <v>0</v>
      </c>
      <c r="P79" t="s">
        <v>91</v>
      </c>
      <c r="Q79">
        <v>180.0</v>
      </c>
      <c r="R79" s="39">
        <v>0.3423</v>
      </c>
      <c r="S79" s="8" t="str">
        <f t="shared" si="42"/>
        <v>678582</v>
      </c>
      <c r="T79" s="7" t="str">
        <f t="shared" si="43"/>
        <v>1.83</v>
      </c>
      <c r="U79" s="7" t="str">
        <f t="shared" si="44"/>
        <v>0.34</v>
      </c>
      <c r="V79" s="8" t="str">
        <f t="shared" si="45"/>
        <v>Infinite</v>
      </c>
      <c r="W79" t="str">
        <f t="shared" si="46"/>
        <v>0</v>
      </c>
    </row>
    <row r="80" ht="14.25" customHeight="1">
      <c r="A80" t="s">
        <v>77</v>
      </c>
      <c r="B80" s="8" t="str">
        <f> SUM(D68,D69,D70,D71,D72,D73,D74,D75,D76,D77,D78,D79)</f>
        <v>1982419</v>
      </c>
      <c r="C80" s="38" t="s">
        <v>92</v>
      </c>
      <c r="H80" t="str">
        <f>SUM(H68,H69,H70,H71,H72,H73,H74,H75,H76,H77,H78,H79)</f>
        <v>0</v>
      </c>
      <c r="P80" t="s">
        <v>77</v>
      </c>
      <c r="Q80" s="8" t="str">
        <f> SUM(S68,S69,S70,S71,S72,S73,S74,S75,S76,S77,S78,S79)</f>
        <v>1982419</v>
      </c>
      <c r="R80" s="38" t="s">
        <v>92</v>
      </c>
      <c r="W80" t="str">
        <f>SUM(W68,W69,W70,W71,W72,W73,W74,W75,W76,W77,W78,W79)</f>
        <v>0</v>
      </c>
    </row>
    <row r="81" ht="14.25" customHeight="1">
      <c r="A81" s="38" t="s">
        <v>95</v>
      </c>
    </row>
    <row r="82" ht="14.25" customHeight="1">
      <c r="A82" t="s">
        <v>57</v>
      </c>
      <c r="B82" t="s">
        <v>58</v>
      </c>
      <c r="C82" s="32" t="s">
        <v>59</v>
      </c>
      <c r="D82" s="32" t="s">
        <v>60</v>
      </c>
      <c r="E82" s="32" t="s">
        <v>61</v>
      </c>
      <c r="F82" s="32" t="s">
        <v>62</v>
      </c>
      <c r="G82" s="32" t="s">
        <v>63</v>
      </c>
      <c r="H82" s="32" t="s">
        <v>64</v>
      </c>
    </row>
    <row r="83" ht="14.25" customHeight="1">
      <c r="A83" t="s">
        <v>96</v>
      </c>
      <c r="B83">
        <v>545.0</v>
      </c>
      <c r="C83" s="39">
        <v>0.0523</v>
      </c>
      <c r="D83" s="8" t="str">
        <f t="shared" ref="D83:D94" si="47"> $G$7*C83</f>
        <v>113555</v>
      </c>
      <c r="E83" s="7" t="str">
        <f t="shared" ref="E83:E94" si="48"> -0.219+168.48*($B$11)^2/($B$5*($B$12)^2)+1.686*($B$14*B83*$B$11)/($B$5*($B$12)^4)+ 0.1089*$B$10</f>
        <v>2.77</v>
      </c>
      <c r="F83" s="7" t="str">
        <f t="shared" ref="F83:F94" si="49"> E83/($B$13*1.1)</f>
        <v>0.51</v>
      </c>
      <c r="G83" s="8" t="str">
        <f t="shared" ref="G83:G94" si="50"> IF(F83&lt;0.45, "Infinite", IF(F83&lt;0.55, (4.2577/(F83-0.4325))^3.268,10^( (0.9718-F83)/0.0828)))</f>
        <v>400861</v>
      </c>
      <c r="H83" t="str">
        <f t="shared" ref="H83:H94" si="51"> IF(G83= "Infinite",0, D83/G83)</f>
        <v>0.2832772644</v>
      </c>
    </row>
    <row r="84" ht="14.25" customHeight="1">
      <c r="A84" t="s">
        <v>97</v>
      </c>
      <c r="B84">
        <v>515.0</v>
      </c>
      <c r="C84" s="39">
        <v>0.07</v>
      </c>
      <c r="D84" s="8" t="str">
        <f t="shared" si="47"/>
        <v>151985</v>
      </c>
      <c r="E84" s="7" t="str">
        <f t="shared" si="48"/>
        <v>2.70</v>
      </c>
      <c r="F84" s="7" t="str">
        <f t="shared" si="49"/>
        <v>0.50</v>
      </c>
      <c r="G84" s="8" t="str">
        <f t="shared" si="50"/>
        <v>752662</v>
      </c>
      <c r="H84" t="str">
        <f t="shared" si="51"/>
        <v>0.2019304904</v>
      </c>
    </row>
    <row r="85" ht="14.25" customHeight="1">
      <c r="A85" t="s">
        <v>98</v>
      </c>
      <c r="B85">
        <v>485.0</v>
      </c>
      <c r="C85" s="39">
        <v>0.0344</v>
      </c>
      <c r="D85" s="8" t="str">
        <f t="shared" si="47"/>
        <v>74690</v>
      </c>
      <c r="E85" s="7" t="str">
        <f t="shared" si="48"/>
        <v>2.62</v>
      </c>
      <c r="F85" s="7" t="str">
        <f t="shared" si="49"/>
        <v>0.49</v>
      </c>
      <c r="G85" s="8" t="str">
        <f t="shared" si="50"/>
        <v>1643842</v>
      </c>
      <c r="H85" t="str">
        <f t="shared" si="51"/>
        <v>0.0454362477</v>
      </c>
    </row>
    <row r="86" ht="14.25" customHeight="1">
      <c r="A86" t="s">
        <v>99</v>
      </c>
      <c r="B86">
        <v>455.0</v>
      </c>
      <c r="C86" s="39">
        <v>0.0712</v>
      </c>
      <c r="D86" s="8" t="str">
        <f t="shared" si="47"/>
        <v>154591</v>
      </c>
      <c r="E86" s="7" t="str">
        <f t="shared" si="48"/>
        <v>2.54</v>
      </c>
      <c r="F86" s="7" t="str">
        <f t="shared" si="49"/>
        <v>0.47</v>
      </c>
      <c r="G86" s="8" t="str">
        <f t="shared" si="50"/>
        <v>4598030</v>
      </c>
      <c r="H86" t="str">
        <f t="shared" si="51"/>
        <v>0.03362111939</v>
      </c>
    </row>
    <row r="87" ht="14.25" customHeight="1">
      <c r="A87" t="s">
        <v>100</v>
      </c>
      <c r="B87">
        <v>425.0</v>
      </c>
      <c r="C87" s="39">
        <v>0.1011</v>
      </c>
      <c r="D87" s="8" t="str">
        <f t="shared" si="47"/>
        <v>219510</v>
      </c>
      <c r="E87" s="7" t="str">
        <f t="shared" si="48"/>
        <v>2.46</v>
      </c>
      <c r="F87" s="7" t="str">
        <f t="shared" si="49"/>
        <v>0.46</v>
      </c>
      <c r="G87" s="8" t="str">
        <f t="shared" si="50"/>
        <v>20803149</v>
      </c>
      <c r="H87" t="str">
        <f t="shared" si="51"/>
        <v>0.01055178797</v>
      </c>
    </row>
    <row r="88" ht="14.25" customHeight="1">
      <c r="A88" t="s">
        <v>101</v>
      </c>
      <c r="B88">
        <v>395.0</v>
      </c>
      <c r="C88" s="39">
        <v>0.1201</v>
      </c>
      <c r="D88" s="8" t="str">
        <f t="shared" si="47"/>
        <v>260764</v>
      </c>
      <c r="E88" s="7" t="str">
        <f t="shared" si="48"/>
        <v>2.39</v>
      </c>
      <c r="F88" s="7" t="str">
        <f t="shared" si="49"/>
        <v>0.44</v>
      </c>
      <c r="G88" s="8" t="str">
        <f t="shared" si="50"/>
        <v>Infinite</v>
      </c>
      <c r="H88" t="str">
        <f t="shared" si="51"/>
        <v>0</v>
      </c>
    </row>
    <row r="89" ht="14.25" customHeight="1">
      <c r="A89" t="s">
        <v>102</v>
      </c>
      <c r="B89">
        <v>365.0</v>
      </c>
      <c r="C89" s="39">
        <v>0.1557</v>
      </c>
      <c r="D89" s="8" t="str">
        <f t="shared" si="47"/>
        <v>338059</v>
      </c>
      <c r="E89" s="7" t="str">
        <f t="shared" si="48"/>
        <v>2.31</v>
      </c>
      <c r="F89" s="7" t="str">
        <f t="shared" si="49"/>
        <v>0.43</v>
      </c>
      <c r="G89" s="8" t="str">
        <f t="shared" si="50"/>
        <v>Infinite</v>
      </c>
      <c r="H89" t="str">
        <f t="shared" si="51"/>
        <v>0</v>
      </c>
    </row>
    <row r="90" ht="14.25" customHeight="1">
      <c r="A90" t="s">
        <v>103</v>
      </c>
      <c r="B90">
        <v>335.0</v>
      </c>
      <c r="C90" s="39">
        <v>0.1113</v>
      </c>
      <c r="D90" s="8" t="str">
        <f t="shared" si="47"/>
        <v>241657</v>
      </c>
      <c r="E90" s="7" t="str">
        <f t="shared" si="48"/>
        <v>2.23</v>
      </c>
      <c r="F90" s="7" t="str">
        <f t="shared" si="49"/>
        <v>0.41</v>
      </c>
      <c r="G90" s="8" t="str">
        <f t="shared" si="50"/>
        <v>Infinite</v>
      </c>
      <c r="H90" t="str">
        <f t="shared" si="51"/>
        <v>0</v>
      </c>
    </row>
    <row r="91" ht="14.25" customHeight="1">
      <c r="A91" t="s">
        <v>104</v>
      </c>
      <c r="B91">
        <v>305.0</v>
      </c>
      <c r="C91" s="39">
        <v>0.0455</v>
      </c>
      <c r="D91" s="8" t="str">
        <f t="shared" si="47"/>
        <v>98791</v>
      </c>
      <c r="E91" s="7" t="str">
        <f t="shared" si="48"/>
        <v>2.15</v>
      </c>
      <c r="F91" s="7" t="str">
        <f t="shared" si="49"/>
        <v>0.40</v>
      </c>
      <c r="G91" s="8" t="str">
        <f t="shared" si="50"/>
        <v>Infinite</v>
      </c>
      <c r="H91" t="str">
        <f t="shared" si="51"/>
        <v>0</v>
      </c>
    </row>
    <row r="92" ht="14.25" customHeight="1">
      <c r="A92" t="s">
        <v>105</v>
      </c>
      <c r="B92">
        <v>275.0</v>
      </c>
      <c r="C92" s="39">
        <v>0.0316</v>
      </c>
      <c r="D92" s="8" t="str">
        <f t="shared" si="47"/>
        <v>68611</v>
      </c>
      <c r="E92" s="7" t="str">
        <f t="shared" si="48"/>
        <v>2.08</v>
      </c>
      <c r="F92" s="7" t="str">
        <f t="shared" si="49"/>
        <v>0.39</v>
      </c>
      <c r="G92" s="8" t="str">
        <f t="shared" si="50"/>
        <v>Infinite</v>
      </c>
      <c r="H92" t="str">
        <f t="shared" si="51"/>
        <v>0</v>
      </c>
    </row>
    <row r="93" ht="14.25" customHeight="1">
      <c r="A93" t="s">
        <v>106</v>
      </c>
      <c r="B93">
        <v>245.0</v>
      </c>
      <c r="C93" s="39">
        <v>0.031</v>
      </c>
      <c r="D93" s="8" t="str">
        <f t="shared" si="47"/>
        <v>67308</v>
      </c>
      <c r="E93" s="7" t="str">
        <f t="shared" si="48"/>
        <v>2.00</v>
      </c>
      <c r="F93" s="7" t="str">
        <f t="shared" si="49"/>
        <v>0.37</v>
      </c>
      <c r="G93" s="8" t="str">
        <f t="shared" si="50"/>
        <v>Infinite</v>
      </c>
      <c r="H93" t="str">
        <f t="shared" si="51"/>
        <v>0</v>
      </c>
    </row>
    <row r="94" ht="14.25" customHeight="1">
      <c r="A94" t="s">
        <v>107</v>
      </c>
      <c r="B94">
        <v>230.0</v>
      </c>
      <c r="C94" s="39">
        <v>0.1758</v>
      </c>
      <c r="D94" s="8" t="str">
        <f t="shared" si="47"/>
        <v>381701</v>
      </c>
      <c r="E94" s="7" t="str">
        <f t="shared" si="48"/>
        <v>1.96</v>
      </c>
      <c r="F94" s="7" t="str">
        <f t="shared" si="49"/>
        <v>0.36</v>
      </c>
      <c r="G94" s="8" t="str">
        <f t="shared" si="50"/>
        <v>Infinite</v>
      </c>
      <c r="H94" t="str">
        <f t="shared" si="51"/>
        <v>0</v>
      </c>
    </row>
    <row r="95" ht="14.25" customHeight="1">
      <c r="A95" t="s">
        <v>77</v>
      </c>
      <c r="B95" s="8" t="str">
        <f> SUM(D83,D84,D85,D86,D87,D88,D89,D90,D91,D92,D93,D94)</f>
        <v>2171221</v>
      </c>
      <c r="C95" s="38" t="s">
        <v>108</v>
      </c>
      <c r="H95" t="str">
        <f>SUM(H83,H84,H85,H86,H87,H88,H89,H90,H91,H92,H93,H94)</f>
        <v>0.5748169099</v>
      </c>
    </row>
    <row r="96" ht="14.25" customHeight="1"/>
    <row r="97" ht="14.25" customHeight="1">
      <c r="A97" t="s">
        <v>109</v>
      </c>
      <c r="B97" t="str">
        <f>H65+H80+H95</f>
        <v>0.5748169099</v>
      </c>
    </row>
    <row r="98" ht="14.25" customHeight="1"/>
    <row r="99" ht="14.25" customHeight="1"/>
    <row r="100" ht="14.25" customHeight="1"/>
  </sheetData>
  <mergeCells count="25">
    <mergeCell ref="P66:W66"/>
    <mergeCell ref="R65:V65"/>
    <mergeCell ref="P16:W16"/>
    <mergeCell ref="P17:W17"/>
    <mergeCell ref="R31:V31"/>
    <mergeCell ref="P32:W32"/>
    <mergeCell ref="A47:H47"/>
    <mergeCell ref="C46:G46"/>
    <mergeCell ref="A16:H16"/>
    <mergeCell ref="A17:H17"/>
    <mergeCell ref="A32:H32"/>
    <mergeCell ref="C31:G31"/>
    <mergeCell ref="C65:G65"/>
    <mergeCell ref="A66:H66"/>
    <mergeCell ref="P50:Y50"/>
    <mergeCell ref="K50:O50"/>
    <mergeCell ref="A50:J50"/>
    <mergeCell ref="A51:H51"/>
    <mergeCell ref="R80:V80"/>
    <mergeCell ref="A81:H81"/>
    <mergeCell ref="C95:G95"/>
    <mergeCell ref="R46:V46"/>
    <mergeCell ref="P47:W47"/>
    <mergeCell ref="P51:W51"/>
    <mergeCell ref="C80:G80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design axle for damage</vt:lpstr>
      <vt:lpstr>fatigue damage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2026-08-19T10:05:47Z</dcterms:created>
  <dc:creator>SUBHALAXMI BALIARSINGH</dc:creator>
  <cp:lastModifiedBy>124CE0002 (SHUBHAYU MANDAL)</cp:lastModifiedBy>
  <cp:lastPrinted>2026-08-26T22:35:31Z</cp:lastPrinted>
  <dcterms:modified xsi:type="dcterms:W3CDTF">2026-09-16T08:41:57Z</dcterms:modified>
</cp:coreProperties>
</file>