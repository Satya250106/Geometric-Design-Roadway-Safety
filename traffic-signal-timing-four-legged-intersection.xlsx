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<sst xmlns="http://schemas.openxmlformats.org/spreadsheetml/2006/main" count="21" uniqueCount="21">
  <si>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NB</t>
  </si>
  <si>
    <t>SB</t>
  </si>
  <si>
    <t>EB</t>
  </si>
  <si>
    <t>WB</t>
  </si>
  <si>
    <t>n</t>
  </si>
  <si>
    <t>l</t>
  </si>
  <si>
    <t>R</t>
  </si>
  <si>
    <t>L</t>
  </si>
  <si>
    <t>Width</t>
  </si>
  <si>
    <t>Si</t>
  </si>
  <si>
    <t>Q</t>
  </si>
  <si>
    <t>Y= Q/S</t>
  </si>
  <si>
    <t>Critical Yi</t>
  </si>
  <si>
    <t>Sum (Yi) =</t>
  </si>
  <si>
    <t>Co =</t>
  </si>
  <si>
    <t>Ultimate Co</t>
  </si>
  <si>
    <t>Eff Green Time</t>
  </si>
  <si>
    <t>N-S, G1</t>
  </si>
  <si>
    <t>E-W,G2</t>
  </si>
  <si>
    <t>SUM</t>
  </si>
  <si>
    <t>(All red time)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</si>
</sst>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/>
      <name val="Arial"/>
      <scheme val="minor"/>
    </font>
    <font>
      <sz val="11.0"/>
      <color/>
      <name val="Aptos Narrow"/>
    </font>
    <font>
      <b/>
      <sz val="11.0"/>
      <color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7" fillId="2" fontId="1" numFmtId="0" xfId="0" applyBorder="1" applyFill="1" applyFont="1"/>
    <xf borderId="8" fillId="3" fontId="1" numFmtId="0" xfId="0" applyBorder="1" applyFill="1" applyFont="1"/>
    <xf borderId="7" fillId="4" fontId="1" numFmtId="0" xfId="0" applyBorder="1" applyFill="1" applyFont="1"/>
    <xf borderId="0" fillId="0" fontId="2" numFmtId="0" xfId="0" applyAlignment="1" applyFont="1">
      <alignment horizontal="center"/>
    </xf>
    <xf borderId="0" fillId="0" fontId="1" numFmtId="1" xfId="0" applyFont="1" applyNumberFormat="1"/>
    <xf borderId="7" fillId="5" fontId="1" numFmtId="0" xfId="0" applyBorder="1" applyFill="1" applyFont="1"/>
    <xf borderId="7" fillId="5" fontId="1" numFmtId="0" xfId="0" applyAlignment="1" applyBorder="1" applyFill="1" applyFont="1">
      <alignment horizontal="center"/>
    </xf>
    <xf borderId="7" fillId="6" fontId="1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center"/>
    </xf>
    <xf borderId="7" fillId="4" fontId="1" numFmtId="0" xfId="0" applyAlignment="1" applyBorder="1" applyFill="1" applyFont="1">
      <alignment horizontal="left"/>
    </xf>
    <xf borderId="10" fillId="4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4" width="8.71"/>
    <col customWidth="1" min="5" max="5" width="11.29"/>
    <col customWidth="1" min="6" max="18" width="8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4" t="s">
        <v>4</v>
      </c>
      <c r="H1" s="5" t="s">
        <v>5</v>
      </c>
      <c r="I1" s="5" t="s">
        <v>6</v>
      </c>
      <c r="J1" s="6" t="s">
        <v>7</v>
      </c>
      <c r="K1" s="3"/>
      <c r="L1" s="3"/>
    </row>
    <row r="2" ht="14.25" customHeight="1">
      <c r="A2" s="2" t="s">
        <v>8</v>
      </c>
      <c r="B2" s="1">
        <v>4.2</v>
      </c>
      <c r="C2" s="1">
        <v>4.1</v>
      </c>
      <c r="D2" s="1">
        <v>3.9</v>
      </c>
      <c r="E2" s="1">
        <v>4.5</v>
      </c>
      <c r="F2" s="3"/>
      <c r="G2" s="7">
        <v>2.0</v>
      </c>
      <c r="H2" s="8">
        <v>2.5</v>
      </c>
      <c r="I2" s="8">
        <v>4.0</v>
      </c>
      <c r="J2" s="9" t="str">
        <f>(G2*H2+I2)</f>
        <v>9</v>
      </c>
      <c r="K2" s="3"/>
      <c r="L2" s="3"/>
    </row>
    <row r="3" ht="14.25" customHeight="1">
      <c r="A3" s="2" t="s">
        <v>9</v>
      </c>
      <c r="B3" s="10" t="str">
        <f t="shared" ref="B3:E3" si="1">(525*B2)</f>
        <v>2205</v>
      </c>
      <c r="C3" s="10" t="str">
        <f t="shared" si="1"/>
        <v>2153</v>
      </c>
      <c r="D3" s="1" t="str">
        <f t="shared" si="1"/>
        <v>2047.5</v>
      </c>
      <c r="E3" s="1" t="str">
        <f t="shared" si="1"/>
        <v>2362.5</v>
      </c>
      <c r="F3" s="3"/>
      <c r="G3" s="3"/>
      <c r="H3" s="3"/>
      <c r="I3" s="3"/>
      <c r="J3" s="3"/>
      <c r="K3" s="3"/>
      <c r="L3" s="3"/>
    </row>
    <row r="4" ht="14.25" customHeight="1">
      <c r="A4" s="2" t="s">
        <v>10</v>
      </c>
      <c r="B4" s="1">
        <v>600.0</v>
      </c>
      <c r="C4" s="1">
        <v>590.0</v>
      </c>
      <c r="D4" s="1">
        <v>730.0</v>
      </c>
      <c r="E4" s="1">
        <v>790.0</v>
      </c>
      <c r="F4" s="3"/>
      <c r="G4" s="3"/>
      <c r="H4" s="3"/>
      <c r="I4" s="3"/>
      <c r="J4" s="3"/>
      <c r="K4" s="3"/>
      <c r="L4" s="3"/>
    </row>
    <row r="5" ht="14.25" customHeight="1">
      <c r="A5" s="2" t="s">
        <v>11</v>
      </c>
      <c r="B5" s="11" t="str">
        <f t="shared" ref="B5:E5" si="2">ROUNDUP(B4/B3,3)</f>
        <v>0.273</v>
      </c>
      <c r="C5" s="11" t="str">
        <f t="shared" si="2"/>
        <v>0.275</v>
      </c>
      <c r="D5" s="11" t="str">
        <f t="shared" si="2"/>
        <v>0.357</v>
      </c>
      <c r="E5" s="11" t="str">
        <f t="shared" si="2"/>
        <v>0.335</v>
      </c>
      <c r="F5" s="3"/>
      <c r="G5" s="3"/>
      <c r="H5" s="3"/>
      <c r="I5" s="3"/>
      <c r="J5" s="3"/>
      <c r="K5" s="3"/>
      <c r="L5" s="3"/>
    </row>
    <row r="6" ht="14.25" customHeight="1">
      <c r="A6" s="2" t="s">
        <v>12</v>
      </c>
      <c r="B6" s="11" t="str">
        <f>MAX(B5,C5)</f>
        <v>0.275</v>
      </c>
      <c r="D6" s="11" t="str">
        <f>MAX(D5,E5)</f>
        <v>0.357</v>
      </c>
      <c r="F6" s="3"/>
      <c r="G6" s="3"/>
      <c r="H6" s="3"/>
      <c r="I6" s="3"/>
      <c r="J6" s="3"/>
      <c r="K6" s="3"/>
      <c r="L6" s="3"/>
      <c r="M6" s="12"/>
      <c r="N6" s="12"/>
      <c r="O6" s="13"/>
      <c r="P6" s="14"/>
      <c r="Q6" s="14"/>
      <c r="R6" s="14"/>
    </row>
    <row r="7" ht="14.2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3"/>
      <c r="L7" s="3"/>
    </row>
    <row r="8" ht="14.25" customHeight="1">
      <c r="A8" s="1"/>
      <c r="B8" s="2" t="s">
        <v>13</v>
      </c>
      <c r="C8" s="11" t="str">
        <f>(B6+D6)</f>
        <v>0.632</v>
      </c>
      <c r="D8" s="1"/>
      <c r="E8" s="1"/>
      <c r="F8" s="3"/>
      <c r="G8" s="3"/>
      <c r="H8" s="3"/>
      <c r="I8" s="3"/>
      <c r="J8" s="3"/>
      <c r="K8" s="3"/>
      <c r="L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4.25" customHeight="1">
      <c r="A10" s="3"/>
      <c r="B10" s="15" t="s">
        <v>14</v>
      </c>
      <c r="C10" s="3" t="str">
        <f>((1.5*J2+5)/(1-C8))</f>
        <v>50.27173913</v>
      </c>
      <c r="D10" s="3"/>
      <c r="E10" s="3"/>
      <c r="F10" s="3"/>
      <c r="G10" s="3"/>
      <c r="H10" s="3"/>
      <c r="I10" s="3"/>
      <c r="J10" s="3"/>
      <c r="K10" s="3"/>
      <c r="L10" s="3"/>
    </row>
    <row r="11" ht="14.25" customHeight="1">
      <c r="A11" s="3"/>
      <c r="B11" s="15" t="s">
        <v>15</v>
      </c>
      <c r="C11" s="3" t="str">
        <f>IF(C10&gt;120,120,ROUND(C10,0))</f>
        <v>50</v>
      </c>
      <c r="D11" s="3"/>
      <c r="E11" s="3"/>
      <c r="F11" s="3"/>
      <c r="G11" s="3"/>
      <c r="H11" s="3"/>
      <c r="I11" s="3"/>
      <c r="J11" s="3"/>
      <c r="K11" s="3"/>
      <c r="L11" s="3"/>
    </row>
    <row r="12" ht="14.25" customHeight="1">
      <c r="A12" s="3"/>
      <c r="B12" s="15" t="s">
        <v>16</v>
      </c>
      <c r="C12" s="3" t="str">
        <f>C11-J2</f>
        <v>41</v>
      </c>
      <c r="D12" s="3"/>
      <c r="E12" s="3"/>
      <c r="F12" s="3"/>
      <c r="G12" s="3"/>
      <c r="H12" s="3"/>
      <c r="I12" s="3"/>
      <c r="J12" s="3"/>
      <c r="K12" s="3"/>
      <c r="L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4.25" customHeight="1">
      <c r="A15" s="15" t="s">
        <v>17</v>
      </c>
      <c r="B15" s="3" t="str">
        <f>((C5/C8)*C12)</f>
        <v>17.84018987</v>
      </c>
      <c r="C15" s="16" t="str">
        <f t="shared" ref="C15:C16" si="3">B15</f>
        <v>18</v>
      </c>
      <c r="F15" s="17"/>
      <c r="G15" s="17"/>
      <c r="H15" s="18">
        <v>18.0</v>
      </c>
      <c r="I15" s="17"/>
      <c r="J15" s="17"/>
      <c r="K15" s="19">
        <v>2.0</v>
      </c>
      <c r="L15" s="20">
        <v>4.0</v>
      </c>
      <c r="M15" s="14"/>
      <c r="N15" s="14"/>
      <c r="O15" s="14">
        <v>26.0</v>
      </c>
      <c r="P15" s="14"/>
      <c r="Q15" s="14"/>
    </row>
    <row r="16" ht="14.25" customHeight="1">
      <c r="A16" s="15" t="s">
        <v>18</v>
      </c>
      <c r="B16" s="3" t="str">
        <f>((E5/C8)*C12)</f>
        <v>21.73259494</v>
      </c>
      <c r="C16" s="16" t="str">
        <f t="shared" si="3"/>
        <v>22</v>
      </c>
      <c r="F16" s="14"/>
      <c r="G16" s="14"/>
      <c r="H16" s="14"/>
      <c r="I16" s="21">
        <v>20.0</v>
      </c>
      <c r="J16" s="14"/>
      <c r="K16" s="14"/>
      <c r="L16" s="22">
        <v>4.0</v>
      </c>
      <c r="M16" s="17"/>
      <c r="N16" s="17">
        <v>22.0</v>
      </c>
      <c r="O16" s="17"/>
      <c r="P16" s="18"/>
      <c r="Q16" s="19">
        <v>2.0</v>
      </c>
    </row>
    <row r="17" ht="14.25" customHeight="1">
      <c r="A17" s="2" t="s">
        <v>19</v>
      </c>
      <c r="B17" s="1" t="str">
        <f>B15+B16</f>
        <v>39.57278481</v>
      </c>
      <c r="L17" s="3" t="s">
        <v>20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B6:C6"/>
    <mergeCell ref="D6:E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2026-09-12T20:33:07Z</dcterms:created>
  <dc:creator>124CE0002 (SHUBHAYU MANDAL)</dc:creator>
  <cp:lastModifiedBy>124CE0002 (SHUBHAYU MANDAL)</cp:lastModifiedBy>
  <dcterms:modified xsi:type="dcterms:W3CDTF">2026-09-16T08:31:56Z</dcterms:modified>
</cp:coreProperties>
</file>