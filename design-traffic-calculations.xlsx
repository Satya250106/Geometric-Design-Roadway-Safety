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<sst xmlns="http://schemas.openxmlformats.org/spreadsheetml/2006/main" count="58" uniqueCount="40">
  <si>
    <t>Variables</t>
  </si>
  <si>
    <t>No of units</t>
  </si>
  <si>
    <t>Units</t>
  </si>
  <si>
    <t>Design life</t>
  </si>
  <si>
    <t>years</t>
  </si>
  <si>
    <t>Rate of growth, r (%)</t>
  </si>
  <si>
    <t>r/100</t>
  </si>
  <si>
    <t>Input</t>
  </si>
  <si>
    <t>One Way traffic</t>
  </si>
  <si>
    <t>CVPD</t>
  </si>
  <si>
    <t>Two Way traffic</t>
  </si>
  <si>
    <t>Transverse Joint Spacing</t>
  </si>
  <si>
    <t>meters</t>
  </si>
  <si>
    <t>Average number of Axles for each commercial vehicles</t>
  </si>
  <si>
    <t>Adjustment for Lateral Placement of Axle</t>
  </si>
  <si>
    <t>/100</t>
  </si>
  <si>
    <t>Proportion of commercial vehicles during night hours</t>
  </si>
  <si>
    <t>Proportion of commercial vehicles during day hours</t>
  </si>
  <si>
    <t>Front single steering axle</t>
  </si>
  <si>
    <t>Rear Single Axle</t>
  </si>
  <si>
    <t>AXLE</t>
  </si>
  <si>
    <t>Rear Tandem Axle</t>
  </si>
  <si>
    <t>Rear Tridem Axle</t>
  </si>
  <si>
    <t>Trafic count percentage in predominant direction</t>
  </si>
  <si>
    <t>Percentage of Commercial vehicle spacing between front axle and first rear axle less than 4.5</t>
  </si>
  <si>
    <t>Step 1</t>
  </si>
  <si>
    <t>Design Traffic</t>
  </si>
  <si>
    <t>CV</t>
  </si>
  <si>
    <t>Total Two - way axle</t>
  </si>
  <si>
    <t>Number of Axle in Predominant Direction</t>
  </si>
  <si>
    <t>axles</t>
  </si>
  <si>
    <t>Adjusting for Lateral Placement of Axle</t>
  </si>
  <si>
    <t>Step 2</t>
  </si>
  <si>
    <t>Night time (12 hours) Design Axle</t>
  </si>
  <si>
    <t>Day time (12 hours) Design Axle</t>
  </si>
  <si>
    <t>Day time (6 hours)</t>
  </si>
  <si>
    <t>Night time (6 hours)</t>
  </si>
  <si>
    <t>Step 3</t>
  </si>
  <si>
    <t>Day, for BUC, design axle</t>
  </si>
  <si>
    <t>Night, Design Axle at night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</si>
</sst>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Border="1" applyFill="1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14"/>
    <col customWidth="1" min="3" max="3" width="10.71"/>
    <col customWidth="1" min="4" max="5" width="8.71"/>
    <col customWidth="1" min="6" max="6" width="19.14"/>
    <col customWidth="1" min="7" max="11" width="8.71"/>
  </cols>
  <sheetData>
    <row r="1" ht="14.25" customHeight="1">
      <c r="B1" s="1" t="s">
        <v>0</v>
      </c>
      <c r="C1" s="1" t="s">
        <v>1</v>
      </c>
      <c r="D1" s="1" t="s">
        <v>2</v>
      </c>
    </row>
    <row r="2" ht="14.25" customHeight="1">
      <c r="A2" s="2"/>
      <c r="B2" t="s">
        <v>3</v>
      </c>
      <c r="C2">
        <v>30.0</v>
      </c>
      <c r="D2" t="s">
        <v>4</v>
      </c>
    </row>
    <row r="3" ht="14.25" customHeight="1">
      <c r="A3" s="2"/>
      <c r="B3" t="s">
        <v>5</v>
      </c>
      <c r="C3">
        <v>0.075</v>
      </c>
      <c r="D3" t="s">
        <v>6</v>
      </c>
    </row>
    <row r="4" ht="14.25" customHeight="1">
      <c r="A4" s="1" t="s">
        <v>7</v>
      </c>
      <c r="B4" t="s">
        <v>8</v>
      </c>
      <c r="C4">
        <v>3000.0</v>
      </c>
      <c r="D4" t="s">
        <v>9</v>
      </c>
    </row>
    <row r="5" ht="14.25" customHeight="1">
      <c r="A5" s="1"/>
      <c r="B5" t="s">
        <v>10</v>
      </c>
      <c r="C5" t="str">
        <f>(2*C4)</f>
        <v>6000</v>
      </c>
      <c r="D5" t="s">
        <v>9</v>
      </c>
    </row>
    <row r="6" ht="14.25" customHeight="1">
      <c r="A6" s="2"/>
      <c r="B6" t="s">
        <v>11</v>
      </c>
      <c r="C6">
        <v>4.5</v>
      </c>
      <c r="D6" t="s">
        <v>12</v>
      </c>
    </row>
    <row r="7" ht="14.25" customHeight="1">
      <c r="A7" s="2"/>
      <c r="B7" t="s">
        <v>13</v>
      </c>
      <c r="C7">
        <v>2.45</v>
      </c>
      <c r="D7" t="s">
        <v>9</v>
      </c>
    </row>
    <row r="8" ht="14.25" customHeight="1">
      <c r="A8" s="2"/>
      <c r="B8" t="s">
        <v>14</v>
      </c>
      <c r="C8">
        <v>0.25</v>
      </c>
      <c r="D8" t="s">
        <v>15</v>
      </c>
    </row>
    <row r="9" ht="14.25" customHeight="1">
      <c r="A9" s="2"/>
      <c r="B9" t="s">
        <v>16</v>
      </c>
      <c r="C9">
        <v>0.55</v>
      </c>
      <c r="D9" t="s">
        <v>15</v>
      </c>
    </row>
    <row r="10" ht="14.25" customHeight="1">
      <c r="A10" s="2"/>
      <c r="B10" t="s">
        <v>17</v>
      </c>
      <c r="C10" t="str">
        <f>(1-C9)</f>
        <v>0.45</v>
      </c>
      <c r="D10" t="s">
        <v>15</v>
      </c>
    </row>
    <row r="11" ht="14.25" customHeight="1">
      <c r="A11" s="2"/>
    </row>
    <row r="12" ht="14.25" customHeight="1">
      <c r="A12" s="2"/>
      <c r="B12" t="s">
        <v>18</v>
      </c>
      <c r="C12">
        <v>0.4</v>
      </c>
      <c r="D12" t="s">
        <v>15</v>
      </c>
    </row>
    <row r="13" ht="14.25" customHeight="1">
      <c r="A13" s="2"/>
      <c r="B13" t="s">
        <v>19</v>
      </c>
      <c r="C13">
        <v>0.2</v>
      </c>
      <c r="D13" t="s">
        <v>15</v>
      </c>
    </row>
    <row r="14" ht="14.25" customHeight="1">
      <c r="A14" s="1" t="s">
        <v>20</v>
      </c>
      <c r="B14" t="s">
        <v>21</v>
      </c>
      <c r="C14">
        <v>0.2</v>
      </c>
      <c r="D14" t="s">
        <v>15</v>
      </c>
    </row>
    <row r="15" ht="14.25" customHeight="1">
      <c r="A15" s="2"/>
      <c r="B15" t="s">
        <v>22</v>
      </c>
      <c r="C15">
        <v>0.2</v>
      </c>
      <c r="D15" t="s">
        <v>15</v>
      </c>
    </row>
    <row r="16" ht="14.25" customHeight="1">
      <c r="A16" s="2"/>
      <c r="B16" t="s">
        <v>23</v>
      </c>
      <c r="C16">
        <v>0.55</v>
      </c>
      <c r="D16" t="s">
        <v>15</v>
      </c>
    </row>
    <row r="17" ht="14.25" customHeight="1">
      <c r="A17" s="2"/>
      <c r="B17" s="3" t="s">
        <v>24</v>
      </c>
      <c r="C17" s="4">
        <v>0.45</v>
      </c>
      <c r="D17" s="3" t="s">
        <v>15</v>
      </c>
    </row>
    <row r="18" ht="14.25" customHeight="1">
      <c r="A18" s="2"/>
    </row>
    <row r="19" ht="14.25" customHeight="1"/>
    <row r="20" ht="14.25" customHeight="1">
      <c r="A20" s="5" t="s">
        <v>25</v>
      </c>
      <c r="B20" t="s">
        <v>26</v>
      </c>
      <c r="C20" t="str">
        <f>(365*(((1+C3)^C2)-1)*C5/C3)</f>
        <v>226444691.5</v>
      </c>
      <c r="D20" t="s">
        <v>27</v>
      </c>
    </row>
    <row r="21" ht="14.25" customHeight="1">
      <c r="A21" s="5"/>
      <c r="B21" t="s">
        <v>28</v>
      </c>
      <c r="C21" t="str">
        <f>(C20*C7)</f>
        <v>554789494.2</v>
      </c>
      <c r="D21" t="s">
        <v>9</v>
      </c>
    </row>
    <row r="22" ht="14.25" customHeight="1">
      <c r="A22" s="5"/>
      <c r="B22" t="s">
        <v>29</v>
      </c>
      <c r="C22" t="str">
        <f>(C16*C21)</f>
        <v>305134221.8</v>
      </c>
      <c r="D22" t="s">
        <v>30</v>
      </c>
    </row>
    <row r="23" ht="14.25" customHeight="1">
      <c r="A23" s="5"/>
      <c r="B23" t="s">
        <v>31</v>
      </c>
      <c r="C23" t="str">
        <f>(C8*C22)</f>
        <v>76283555.46</v>
      </c>
      <c r="D23" t="s">
        <v>30</v>
      </c>
    </row>
    <row r="24" ht="14.25" customHeight="1">
      <c r="A24" s="5"/>
    </row>
    <row r="25" ht="14.25" customHeight="1">
      <c r="A25" s="5" t="s">
        <v>32</v>
      </c>
      <c r="B25" t="s">
        <v>33</v>
      </c>
      <c r="C25" t="str">
        <f>(C9*C23)</f>
        <v>41955955.5</v>
      </c>
      <c r="D25" t="s">
        <v>30</v>
      </c>
    </row>
    <row r="26" ht="14.25" customHeight="1">
      <c r="A26" s="5"/>
      <c r="B26" t="s">
        <v>34</v>
      </c>
      <c r="C26" t="str">
        <f>(C10*C23)</f>
        <v>34327599.95</v>
      </c>
      <c r="D26" t="s">
        <v>30</v>
      </c>
    </row>
    <row r="27" ht="14.25" customHeight="1">
      <c r="A27" s="5"/>
      <c r="B27" t="s">
        <v>35</v>
      </c>
      <c r="C27" t="str">
        <f>(C26/2)</f>
        <v>17163799.98</v>
      </c>
      <c r="D27" t="s">
        <v>30</v>
      </c>
    </row>
    <row r="28" ht="14.25" customHeight="1">
      <c r="A28" s="5"/>
      <c r="B28" t="s">
        <v>36</v>
      </c>
      <c r="C28" t="str">
        <f>(C25/2)</f>
        <v>20977977.75</v>
      </c>
      <c r="D28" t="s">
        <v>30</v>
      </c>
    </row>
    <row r="29" ht="14.25" customHeight="1">
      <c r="A29" s="5"/>
    </row>
    <row r="30" ht="14.25" customHeight="1">
      <c r="A30" s="5" t="s">
        <v>37</v>
      </c>
      <c r="B30" t="s">
        <v>38</v>
      </c>
      <c r="C30" t="str">
        <f>(C27)</f>
        <v>17163799.98</v>
      </c>
      <c r="D30" t="s">
        <v>30</v>
      </c>
    </row>
    <row r="31" ht="14.25" customHeight="1">
      <c r="A31" s="5"/>
      <c r="B31" t="s">
        <v>39</v>
      </c>
      <c r="C31" t="str">
        <f>(C17*C28)</f>
        <v>9440089.988</v>
      </c>
      <c r="D31" t="s">
        <v>30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">
    <mergeCell ref="B17:B18"/>
    <mergeCell ref="C17:C18"/>
    <mergeCell ref="D17:D1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2026-08-19T10:05:50Z</dcterms:created>
  <dc:creator>124CE0002 (SHUBHAYU MANDAL)</dc:creator>
  <cp:lastModifiedBy>124CE0002 (SHUBHAYU MANDAL)</cp:lastModifiedBy>
  <dcterms:modified xsi:type="dcterms:W3CDTF">2026-08-26T11:32:08Z</dcterms:modified>
</cp:coreProperties>
</file>