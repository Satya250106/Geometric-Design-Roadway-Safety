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<sst xmlns="http://schemas.openxmlformats.org/spreadsheetml/2006/main" count="40" uniqueCount="11">
  <si>
    <t>Axle Load</t>
  </si>
  <si>
    <t>No of Vehicles</t>
  </si>
  <si>
    <t>Sl.NO</t>
  </si>
  <si>
    <t>Axle Load(kN)</t>
  </si>
  <si>
    <t>Damaging Effect</t>
  </si>
  <si>
    <t>Single Axle</t>
  </si>
  <si>
    <t>Front</t>
  </si>
  <si>
    <t>Rear</t>
  </si>
  <si>
    <t>Total</t>
  </si>
  <si>
    <t>Tandem</t>
  </si>
  <si>
    <t>Tridem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</si>
</sst>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6" width="8.71"/>
    <col customWidth="1" min="7" max="7" width="14.86"/>
    <col customWidth="1" min="8" max="14" width="8.71"/>
    <col customWidth="1" min="15" max="15" width="14.14"/>
    <col customWidth="1" min="16" max="16" width="8.86"/>
    <col customWidth="1" min="17" max="17" width="11.57"/>
  </cols>
  <sheetData>
    <row r="1" ht="14.25" customHeight="1">
      <c r="P1" t="s">
        <v>0</v>
      </c>
      <c r="Q1" t="s">
        <v>1</v>
      </c>
    </row>
    <row r="2" ht="19.5" customHeight="1">
      <c r="A2" s="1" t="s">
        <v>2</v>
      </c>
      <c r="B2" s="1" t="s">
        <v>3</v>
      </c>
      <c r="D2" s="1" t="s">
        <v>4</v>
      </c>
      <c r="G2" s="2"/>
      <c r="H2" s="1" t="s">
        <v>2</v>
      </c>
      <c r="I2" s="1" t="s">
        <v>3</v>
      </c>
      <c r="K2" s="1" t="s">
        <v>4</v>
      </c>
      <c r="O2" s="3" t="s">
        <v>5</v>
      </c>
      <c r="P2">
        <v>0.973</v>
      </c>
      <c r="Q2">
        <v>10.0</v>
      </c>
    </row>
    <row r="3" ht="18.0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8</v>
      </c>
      <c r="I3" s="1" t="s">
        <v>6</v>
      </c>
      <c r="J3" s="1" t="s">
        <v>7</v>
      </c>
      <c r="K3" s="1" t="s">
        <v>6</v>
      </c>
      <c r="L3" s="1" t="s">
        <v>7</v>
      </c>
      <c r="M3" s="1" t="s">
        <v>8</v>
      </c>
      <c r="O3" s="3" t="s">
        <v>9</v>
      </c>
      <c r="P3">
        <v>1.25</v>
      </c>
      <c r="Q3">
        <v>20.0</v>
      </c>
    </row>
    <row r="4" ht="16.5" customHeight="1">
      <c r="A4" s="4">
        <v>1.0</v>
      </c>
      <c r="B4" s="4">
        <v>22.06</v>
      </c>
      <c r="C4" s="5">
        <v>44.13</v>
      </c>
      <c r="D4" t="str">
        <f t="shared" ref="D4:D13" si="1">(B4/65)^4</f>
        <v>0.01326687404</v>
      </c>
      <c r="E4" t="str">
        <f t="shared" ref="E4:E13" si="2">(C4/80)^4</f>
        <v>0.09259248968</v>
      </c>
      <c r="F4" t="str">
        <f t="shared" ref="F4:F13" si="3">D4+E4</f>
        <v>0.1058593637</v>
      </c>
      <c r="H4" s="4">
        <v>1.0</v>
      </c>
      <c r="I4">
        <v>22.72</v>
      </c>
      <c r="J4">
        <v>89.5</v>
      </c>
      <c r="K4" t="str">
        <f t="shared" ref="K4:K13" si="4">(I4/65)^4</f>
        <v>0.01492725258</v>
      </c>
      <c r="L4" t="str">
        <f t="shared" ref="L4:L13" si="5">(J4/80)^4</f>
        <v>1.566506471</v>
      </c>
      <c r="M4" t="str">
        <f t="shared" ref="M4:M13" si="6">K4+L4</f>
        <v>1.581433724</v>
      </c>
      <c r="O4" s="3" t="s">
        <v>10</v>
      </c>
      <c r="P4">
        <v>1.73</v>
      </c>
      <c r="Q4">
        <v>15.0</v>
      </c>
    </row>
    <row r="5" ht="14.25" customHeight="1">
      <c r="A5" s="4">
        <v>2.0</v>
      </c>
      <c r="B5" s="5">
        <v>22.88</v>
      </c>
      <c r="C5" s="5">
        <v>45.76</v>
      </c>
      <c r="D5" t="str">
        <f t="shared" si="1"/>
        <v>0.01535220122</v>
      </c>
      <c r="E5" t="str">
        <f t="shared" si="2"/>
        <v>0.1070493699</v>
      </c>
      <c r="F5" t="str">
        <f t="shared" si="3"/>
        <v>0.1224015711</v>
      </c>
      <c r="H5" s="4">
        <v>2.0</v>
      </c>
      <c r="I5">
        <v>22.88</v>
      </c>
      <c r="J5">
        <v>76.8</v>
      </c>
      <c r="K5" t="str">
        <f t="shared" si="4"/>
        <v>0.01535220122</v>
      </c>
      <c r="L5" t="str">
        <f t="shared" si="5"/>
        <v>0.84934656</v>
      </c>
      <c r="M5" t="str">
        <f t="shared" si="6"/>
        <v>0.8646987612</v>
      </c>
      <c r="P5" t="s">
        <v>8</v>
      </c>
      <c r="Q5" t="str">
        <f>((P2*Q2)+(P3*Q3)+(P4*Q4))/(Q2+Q3+Q4)</f>
        <v>1.348444444</v>
      </c>
    </row>
    <row r="6" ht="14.25" customHeight="1">
      <c r="A6" s="4">
        <v>3.0</v>
      </c>
      <c r="B6" s="5">
        <v>23.53</v>
      </c>
      <c r="C6" s="5">
        <v>47.07</v>
      </c>
      <c r="D6" t="str">
        <f t="shared" si="1"/>
        <v>0.01717252994</v>
      </c>
      <c r="E6" t="str">
        <f t="shared" si="2"/>
        <v>0.1198441516</v>
      </c>
      <c r="F6" t="str">
        <f t="shared" si="3"/>
        <v>0.1370166815</v>
      </c>
      <c r="H6" s="4">
        <v>3.0</v>
      </c>
      <c r="I6">
        <v>23.21</v>
      </c>
      <c r="J6">
        <v>87.2</v>
      </c>
      <c r="K6" t="str">
        <f t="shared" si="4"/>
        <v>0.01625725191</v>
      </c>
      <c r="L6" t="str">
        <f t="shared" si="5"/>
        <v>1.41158161</v>
      </c>
      <c r="M6" t="str">
        <f t="shared" si="6"/>
        <v>1.427838862</v>
      </c>
    </row>
    <row r="7" ht="14.25" customHeight="1">
      <c r="A7" s="4">
        <v>4.0</v>
      </c>
      <c r="B7" s="5">
        <v>38.41</v>
      </c>
      <c r="C7" s="5">
        <v>76.81</v>
      </c>
      <c r="D7" t="str">
        <f t="shared" si="1"/>
        <v>0.121933714</v>
      </c>
      <c r="E7" t="str">
        <f t="shared" si="2"/>
        <v>0.8497890144</v>
      </c>
      <c r="F7" t="str">
        <f t="shared" si="3"/>
        <v>0.9717227284</v>
      </c>
      <c r="H7" s="4">
        <v>4.0</v>
      </c>
      <c r="I7">
        <v>23.37</v>
      </c>
      <c r="J7">
        <v>86.2</v>
      </c>
      <c r="K7" t="str">
        <f t="shared" si="4"/>
        <v>0.01671019135</v>
      </c>
      <c r="L7" t="str">
        <f t="shared" si="5"/>
        <v>1.347935513</v>
      </c>
      <c r="M7" t="str">
        <f t="shared" si="6"/>
        <v>1.364645704</v>
      </c>
    </row>
    <row r="8" ht="14.25" customHeight="1">
      <c r="A8" s="4">
        <v>5.0</v>
      </c>
      <c r="B8" s="5">
        <v>38.73</v>
      </c>
      <c r="C8" s="5">
        <v>77.47</v>
      </c>
      <c r="D8" t="str">
        <f t="shared" si="1"/>
        <v>0.1260481748</v>
      </c>
      <c r="E8" t="str">
        <f t="shared" si="2"/>
        <v>0.8793753262</v>
      </c>
      <c r="F8" t="str">
        <f t="shared" si="3"/>
        <v>1.005423501</v>
      </c>
      <c r="H8" s="4">
        <v>5.0</v>
      </c>
      <c r="I8">
        <v>30.4</v>
      </c>
      <c r="J8">
        <v>83.5</v>
      </c>
      <c r="K8" t="str">
        <f t="shared" si="4"/>
        <v>0.04784547911</v>
      </c>
      <c r="L8" t="str">
        <f t="shared" si="5"/>
        <v>1.186823</v>
      </c>
      <c r="M8" t="str">
        <f t="shared" si="6"/>
        <v>1.234668479</v>
      </c>
    </row>
    <row r="9" ht="14.25" customHeight="1">
      <c r="A9" s="4">
        <v>6.0</v>
      </c>
      <c r="B9" s="5">
        <v>40.2</v>
      </c>
      <c r="C9" s="5">
        <v>80.41</v>
      </c>
      <c r="D9" t="str">
        <f t="shared" si="1"/>
        <v>0.1463021761</v>
      </c>
      <c r="E9" t="str">
        <f t="shared" si="2"/>
        <v>1.020658133</v>
      </c>
      <c r="F9" t="str">
        <f t="shared" si="3"/>
        <v>1.166960309</v>
      </c>
      <c r="H9" s="4">
        <v>6.0</v>
      </c>
      <c r="I9">
        <v>41.24</v>
      </c>
      <c r="J9">
        <v>80.41</v>
      </c>
      <c r="K9" t="str">
        <f t="shared" si="4"/>
        <v>0.162039614</v>
      </c>
      <c r="L9" t="str">
        <f t="shared" si="5"/>
        <v>1.020658133</v>
      </c>
      <c r="M9" t="str">
        <f t="shared" si="6"/>
        <v>1.182697747</v>
      </c>
    </row>
    <row r="10" ht="14.25" customHeight="1">
      <c r="A10" s="4">
        <v>7.0</v>
      </c>
      <c r="B10" s="5">
        <v>40.37</v>
      </c>
      <c r="C10" s="5">
        <v>80.74</v>
      </c>
      <c r="D10" t="str">
        <f t="shared" si="1"/>
        <v>0.1487926817</v>
      </c>
      <c r="E10" t="str">
        <f t="shared" si="2"/>
        <v>1.037516548</v>
      </c>
      <c r="F10" t="str">
        <f t="shared" si="3"/>
        <v>1.18630923</v>
      </c>
      <c r="H10" s="4">
        <v>7.0</v>
      </c>
      <c r="I10">
        <v>41.37</v>
      </c>
      <c r="J10">
        <v>80.74</v>
      </c>
      <c r="K10" t="str">
        <f t="shared" si="4"/>
        <v>0.1640924718</v>
      </c>
      <c r="L10" t="str">
        <f t="shared" si="5"/>
        <v>1.037516548</v>
      </c>
      <c r="M10" t="str">
        <f t="shared" si="6"/>
        <v>1.20160902</v>
      </c>
    </row>
    <row r="11" ht="14.25" customHeight="1">
      <c r="A11" s="4">
        <v>8.0</v>
      </c>
      <c r="B11" s="5">
        <v>43.47</v>
      </c>
      <c r="C11" s="5">
        <v>86.95</v>
      </c>
      <c r="D11" t="str">
        <f t="shared" si="1"/>
        <v>0.2000346056</v>
      </c>
      <c r="E11" t="str">
        <f t="shared" si="2"/>
        <v>1.39546323</v>
      </c>
      <c r="F11" t="str">
        <f t="shared" si="3"/>
        <v>1.595497835</v>
      </c>
      <c r="H11" s="4">
        <v>8.0</v>
      </c>
      <c r="I11">
        <v>43.47</v>
      </c>
      <c r="J11">
        <v>86.95</v>
      </c>
      <c r="K11" t="str">
        <f t="shared" si="4"/>
        <v>0.2000346056</v>
      </c>
      <c r="L11" t="str">
        <f t="shared" si="5"/>
        <v>1.39546323</v>
      </c>
      <c r="M11" t="str">
        <f t="shared" si="6"/>
        <v>1.595497835</v>
      </c>
    </row>
    <row r="12" ht="14.25" customHeight="1">
      <c r="A12" s="4">
        <v>9.0</v>
      </c>
      <c r="B12" s="5">
        <v>44.13</v>
      </c>
      <c r="C12" s="5">
        <v>88.25</v>
      </c>
      <c r="D12" t="str">
        <f t="shared" si="1"/>
        <v>0.2124624979</v>
      </c>
      <c r="E12" t="str">
        <f t="shared" si="2"/>
        <v>1.480808533</v>
      </c>
      <c r="F12" t="str">
        <f t="shared" si="3"/>
        <v>1.693271031</v>
      </c>
      <c r="H12" s="4">
        <v>9.0</v>
      </c>
      <c r="I12">
        <v>44.13</v>
      </c>
      <c r="J12">
        <v>88.25</v>
      </c>
      <c r="K12" t="str">
        <f t="shared" si="4"/>
        <v>0.2124624979</v>
      </c>
      <c r="L12" t="str">
        <f t="shared" si="5"/>
        <v>1.480808533</v>
      </c>
      <c r="M12" t="str">
        <f t="shared" si="6"/>
        <v>1.693271031</v>
      </c>
    </row>
    <row r="13" ht="14.25" customHeight="1">
      <c r="A13" s="4">
        <v>10.0</v>
      </c>
      <c r="B13" s="5">
        <v>44.45</v>
      </c>
      <c r="C13" s="5">
        <v>88.91</v>
      </c>
      <c r="D13" t="str">
        <f t="shared" si="1"/>
        <v>0.2186923718</v>
      </c>
      <c r="E13" t="str">
        <f t="shared" si="2"/>
        <v>1.525606369</v>
      </c>
      <c r="F13" t="str">
        <f t="shared" si="3"/>
        <v>1.74429874</v>
      </c>
      <c r="H13" s="4">
        <v>10.0</v>
      </c>
      <c r="I13">
        <v>44.45</v>
      </c>
      <c r="J13">
        <v>88.91</v>
      </c>
      <c r="K13" t="str">
        <f t="shared" si="4"/>
        <v>0.2186923718</v>
      </c>
      <c r="L13" t="str">
        <f t="shared" si="5"/>
        <v>1.525606369</v>
      </c>
      <c r="M13" t="str">
        <f t="shared" si="6"/>
        <v>1.74429874</v>
      </c>
    </row>
    <row r="14" ht="14.25" customHeight="1">
      <c r="E14" s="6" t="s">
        <v>8</v>
      </c>
      <c r="F14" s="3" t="str">
        <f>F4+F5+F6+F7+F8+F9+F10+F11+F12+F13</f>
        <v>9.728760991</v>
      </c>
      <c r="L14" s="6" t="s">
        <v>8</v>
      </c>
      <c r="M14" s="3" t="str">
        <f>M4+M5+M6+M7+M8+M9+M10+M11+M12+M13</f>
        <v>13.8906599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1" t="s">
        <v>2</v>
      </c>
      <c r="B22" s="1" t="s">
        <v>3</v>
      </c>
      <c r="D22" s="1" t="s">
        <v>4</v>
      </c>
      <c r="H22" s="1" t="s">
        <v>2</v>
      </c>
      <c r="I22" s="1" t="s">
        <v>3</v>
      </c>
      <c r="K22" s="1" t="s">
        <v>4</v>
      </c>
    </row>
    <row r="23" ht="14.25" customHeight="1">
      <c r="B23" s="1" t="s">
        <v>6</v>
      </c>
      <c r="C23" s="1" t="s">
        <v>7</v>
      </c>
      <c r="D23" s="1" t="s">
        <v>6</v>
      </c>
      <c r="E23" s="1" t="s">
        <v>7</v>
      </c>
      <c r="F23" s="1" t="s">
        <v>8</v>
      </c>
      <c r="I23" s="1" t="s">
        <v>6</v>
      </c>
      <c r="J23" s="1" t="s">
        <v>7</v>
      </c>
      <c r="K23" s="1" t="s">
        <v>6</v>
      </c>
      <c r="L23" s="1" t="s">
        <v>7</v>
      </c>
      <c r="M23" s="1" t="s">
        <v>8</v>
      </c>
    </row>
    <row r="24" ht="14.25" customHeight="1">
      <c r="A24" s="4">
        <v>1.0</v>
      </c>
      <c r="B24">
        <v>72.0</v>
      </c>
      <c r="C24">
        <v>81.0</v>
      </c>
      <c r="D24" t="str">
        <f t="shared" ref="D24:E24" si="7">(B24/65)^4</f>
        <v>1.505485438</v>
      </c>
      <c r="E24" t="str">
        <f t="shared" si="7"/>
        <v>2.411496572</v>
      </c>
      <c r="F24" t="str">
        <f t="shared" ref="F24:F40" si="10">(D24+E24)</f>
        <v>3.91698201</v>
      </c>
      <c r="H24" s="4">
        <v>1.0</v>
      </c>
      <c r="I24">
        <v>71.0</v>
      </c>
      <c r="J24">
        <v>89.0</v>
      </c>
      <c r="K24" t="str">
        <f t="shared" ref="K24:L24" si="8">(I24/65)^4</f>
        <v>1.42357374</v>
      </c>
      <c r="L24" t="str">
        <f t="shared" si="8"/>
        <v>3.514848416</v>
      </c>
    </row>
    <row r="25" ht="14.25" customHeight="1">
      <c r="A25" s="4">
        <v>2.0</v>
      </c>
      <c r="B25">
        <v>69.0</v>
      </c>
      <c r="C25">
        <v>89.0</v>
      </c>
      <c r="D25" t="str">
        <f t="shared" ref="D25:E25" si="9">(B25/65)^4</f>
        <v>1.269822261</v>
      </c>
      <c r="E25" t="str">
        <f t="shared" si="9"/>
        <v>3.514848416</v>
      </c>
      <c r="F25" t="str">
        <f t="shared" si="10"/>
        <v>4.784670677</v>
      </c>
      <c r="H25" s="4">
        <v>2.0</v>
      </c>
      <c r="I25">
        <v>67.0</v>
      </c>
      <c r="J25">
        <v>78.0</v>
      </c>
      <c r="K25" t="str">
        <f t="shared" ref="K25:L25" si="11">(I25/65)^4</f>
        <v>1.128874815</v>
      </c>
      <c r="L25" t="str">
        <f t="shared" si="11"/>
        <v>2.0736</v>
      </c>
    </row>
    <row r="26" ht="14.25" customHeight="1">
      <c r="A26" s="4">
        <v>3.0</v>
      </c>
      <c r="B26">
        <v>64.0</v>
      </c>
      <c r="C26">
        <v>94.0</v>
      </c>
      <c r="D26" t="str">
        <f t="shared" ref="D26:E26" si="12">(B26/65)^4</f>
        <v>0.9398671475</v>
      </c>
      <c r="E26" t="str">
        <f t="shared" si="12"/>
        <v>4.37379061</v>
      </c>
      <c r="F26" t="str">
        <f t="shared" si="10"/>
        <v>5.313657757</v>
      </c>
      <c r="H26" s="4">
        <v>3.0</v>
      </c>
      <c r="I26">
        <v>72.0</v>
      </c>
      <c r="J26">
        <v>86.0</v>
      </c>
      <c r="K26" t="str">
        <f t="shared" ref="K26:L26" si="13">(I26/65)^4</f>
        <v>1.505485438</v>
      </c>
      <c r="L26" t="str">
        <f t="shared" si="13"/>
        <v>3.064364189</v>
      </c>
    </row>
    <row r="27" ht="14.25" customHeight="1">
      <c r="A27" s="4">
        <v>4.0</v>
      </c>
      <c r="B27">
        <v>82.0</v>
      </c>
      <c r="C27">
        <v>76.0</v>
      </c>
      <c r="D27" t="str">
        <f t="shared" ref="D27:E27" si="14">(B27/65)^4</f>
        <v>2.53280633</v>
      </c>
      <c r="E27" t="str">
        <f t="shared" si="14"/>
        <v>1.868964028</v>
      </c>
      <c r="F27" t="str">
        <f t="shared" si="10"/>
        <v>4.401770358</v>
      </c>
      <c r="H27" s="4">
        <v>4.0</v>
      </c>
      <c r="I27">
        <v>78.0</v>
      </c>
      <c r="J27">
        <v>92.0</v>
      </c>
      <c r="K27" t="str">
        <f t="shared" ref="K27:L27" si="15">(I27/65)^4</f>
        <v>2.0736</v>
      </c>
      <c r="L27" t="str">
        <f t="shared" si="15"/>
        <v>4.013265418</v>
      </c>
    </row>
    <row r="28" ht="14.25" customHeight="1">
      <c r="A28" s="4">
        <v>5.0</v>
      </c>
      <c r="B28">
        <v>72.0</v>
      </c>
      <c r="C28">
        <v>98.0</v>
      </c>
      <c r="D28" t="str">
        <f t="shared" ref="D28:E28" si="16">(B28/65)^4</f>
        <v>1.505485438</v>
      </c>
      <c r="E28" t="str">
        <f t="shared" si="16"/>
        <v>5.167147705</v>
      </c>
      <c r="F28" t="str">
        <f t="shared" si="10"/>
        <v>6.672633143</v>
      </c>
      <c r="H28" s="4">
        <v>5.0</v>
      </c>
      <c r="I28">
        <v>60.0</v>
      </c>
      <c r="J28">
        <v>78.0</v>
      </c>
      <c r="K28" t="str">
        <f t="shared" ref="K28:L28" si="17">(I28/65)^4</f>
        <v>0.7260249991</v>
      </c>
      <c r="L28" t="str">
        <f t="shared" si="17"/>
        <v>2.0736</v>
      </c>
    </row>
    <row r="29" ht="14.25" customHeight="1">
      <c r="A29" s="4">
        <v>6.0</v>
      </c>
      <c r="B29">
        <v>59.0</v>
      </c>
      <c r="C29">
        <v>68.0</v>
      </c>
      <c r="D29" t="str">
        <f t="shared" ref="D29:E29" si="18">(B29/65)^4</f>
        <v>0.6788199853</v>
      </c>
      <c r="E29" t="str">
        <f t="shared" si="18"/>
        <v>1.197794251</v>
      </c>
      <c r="F29" t="str">
        <f t="shared" si="10"/>
        <v>1.876614236</v>
      </c>
      <c r="H29" s="4">
        <v>6.0</v>
      </c>
      <c r="I29">
        <v>88.0</v>
      </c>
      <c r="J29">
        <v>86.0</v>
      </c>
      <c r="K29" t="str">
        <f t="shared" ref="K29:L29" si="19">(I29/65)^4</f>
        <v>3.359520241</v>
      </c>
      <c r="L29" t="str">
        <f t="shared" si="19"/>
        <v>3.064364189</v>
      </c>
    </row>
    <row r="30" ht="14.25" customHeight="1">
      <c r="A30" s="4">
        <v>7.0</v>
      </c>
      <c r="B30">
        <v>18.0</v>
      </c>
      <c r="C30">
        <v>18.0</v>
      </c>
      <c r="D30" t="str">
        <f t="shared" ref="D30:E30" si="20">(B30/65)^4</f>
        <v>0.005880802493</v>
      </c>
      <c r="E30" t="str">
        <f t="shared" si="20"/>
        <v>0.005880802493</v>
      </c>
      <c r="F30" t="str">
        <f t="shared" si="10"/>
        <v>0.01176160499</v>
      </c>
      <c r="H30" s="4">
        <v>7.0</v>
      </c>
      <c r="I30">
        <v>18.0</v>
      </c>
      <c r="J30">
        <v>18.0</v>
      </c>
      <c r="K30" t="str">
        <f t="shared" ref="K30:L30" si="21">(I30/65)^4</f>
        <v>0.005880802493</v>
      </c>
      <c r="L30" t="str">
        <f t="shared" si="21"/>
        <v>0.005880802493</v>
      </c>
    </row>
    <row r="31" ht="14.25" customHeight="1">
      <c r="A31" s="4">
        <v>8.0</v>
      </c>
      <c r="B31">
        <v>72.0</v>
      </c>
      <c r="C31">
        <v>88.0</v>
      </c>
      <c r="D31" t="str">
        <f t="shared" ref="D31:E31" si="22">(B31/65)^4</f>
        <v>1.505485438</v>
      </c>
      <c r="E31" t="str">
        <f t="shared" si="22"/>
        <v>3.359520241</v>
      </c>
      <c r="F31" t="str">
        <f t="shared" si="10"/>
        <v>4.865005679</v>
      </c>
      <c r="H31" s="4">
        <v>8.0</v>
      </c>
      <c r="I31">
        <v>72.0</v>
      </c>
      <c r="J31">
        <v>90.0</v>
      </c>
      <c r="K31" t="str">
        <f t="shared" ref="K31:L31" si="23">(I31/65)^4</f>
        <v>1.505485438</v>
      </c>
      <c r="L31" t="str">
        <f t="shared" si="23"/>
        <v>3.675501558</v>
      </c>
    </row>
    <row r="32" ht="14.25" customHeight="1">
      <c r="A32" s="4">
        <v>9.0</v>
      </c>
      <c r="B32">
        <v>78.0</v>
      </c>
      <c r="C32">
        <v>75.0</v>
      </c>
      <c r="D32" t="str">
        <f t="shared" ref="D32:E32" si="24">(B32/65)^4</f>
        <v>2.0736</v>
      </c>
      <c r="E32" t="str">
        <f t="shared" si="24"/>
        <v>1.772521971</v>
      </c>
      <c r="F32" t="str">
        <f t="shared" si="10"/>
        <v>3.846121971</v>
      </c>
      <c r="H32" s="4">
        <v>9.0</v>
      </c>
      <c r="I32">
        <v>76.0</v>
      </c>
      <c r="J32">
        <v>86.0</v>
      </c>
      <c r="K32" t="str">
        <f t="shared" ref="K32:L32" si="25">(I32/65)^4</f>
        <v>1.868964028</v>
      </c>
      <c r="L32" t="str">
        <f t="shared" si="25"/>
        <v>3.064364189</v>
      </c>
    </row>
    <row r="33" ht="14.25" customHeight="1">
      <c r="A33" s="4">
        <v>10.0</v>
      </c>
      <c r="B33">
        <v>83.0</v>
      </c>
      <c r="C33">
        <v>96.0</v>
      </c>
      <c r="D33" t="str">
        <f t="shared" ref="D33:E33" si="26">(B33/65)^4</f>
        <v>2.658636378</v>
      </c>
      <c r="E33" t="str">
        <f t="shared" si="26"/>
        <v>4.758077434</v>
      </c>
      <c r="F33" t="str">
        <f t="shared" si="10"/>
        <v>7.416713813</v>
      </c>
      <c r="H33" s="4">
        <v>10.0</v>
      </c>
      <c r="I33">
        <v>79.0</v>
      </c>
      <c r="J33">
        <v>101.0</v>
      </c>
      <c r="K33" t="str">
        <f t="shared" ref="K33:L33" si="27">(I33/65)^4</f>
        <v>2.182000966</v>
      </c>
      <c r="L33" t="str">
        <f t="shared" si="27"/>
        <v>5.829510227</v>
      </c>
    </row>
    <row r="34" ht="14.25" customHeight="1">
      <c r="A34" s="4">
        <v>11.0</v>
      </c>
      <c r="B34">
        <v>84.0</v>
      </c>
      <c r="C34">
        <v>70.0</v>
      </c>
      <c r="D34" t="str">
        <f t="shared" ref="D34:E34" si="28">(B34/65)^4</f>
        <v>2.789097637</v>
      </c>
      <c r="E34" t="str">
        <f t="shared" si="28"/>
        <v>1.345050944</v>
      </c>
      <c r="F34" t="str">
        <f t="shared" si="10"/>
        <v>4.13414858</v>
      </c>
      <c r="H34" s="4">
        <v>11.0</v>
      </c>
      <c r="I34">
        <v>67.0</v>
      </c>
      <c r="J34">
        <v>103.0</v>
      </c>
      <c r="K34" t="str">
        <f t="shared" ref="K34:L34" si="29">(I34/65)^4</f>
        <v>1.128874815</v>
      </c>
      <c r="L34" t="str">
        <f t="shared" si="29"/>
        <v>6.305150716</v>
      </c>
    </row>
    <row r="35" ht="14.25" customHeight="1">
      <c r="A35" s="4">
        <v>12.0</v>
      </c>
      <c r="B35">
        <v>65.0</v>
      </c>
      <c r="C35">
        <v>86.0</v>
      </c>
      <c r="D35" t="str">
        <f t="shared" ref="D35:E35" si="30">(B35/65)^4</f>
        <v>1</v>
      </c>
      <c r="E35" t="str">
        <f t="shared" si="30"/>
        <v>3.064364189</v>
      </c>
      <c r="F35" t="str">
        <f t="shared" si="10"/>
        <v>4.064364189</v>
      </c>
      <c r="H35" s="4">
        <v>12.0</v>
      </c>
      <c r="I35">
        <v>68.0</v>
      </c>
      <c r="J35">
        <v>89.0</v>
      </c>
      <c r="K35" t="str">
        <f t="shared" ref="K35:L35" si="31">(I35/65)^4</f>
        <v>1.197794251</v>
      </c>
      <c r="L35" t="str">
        <f t="shared" si="31"/>
        <v>3.514848416</v>
      </c>
    </row>
    <row r="36" ht="14.25" customHeight="1">
      <c r="A36" s="4">
        <v>13.0</v>
      </c>
      <c r="B36">
        <v>57.0</v>
      </c>
      <c r="C36">
        <v>89.0</v>
      </c>
      <c r="D36" t="str">
        <f t="shared" ref="D36:E36" si="32">(B36/65)^4</f>
        <v>0.5913518994</v>
      </c>
      <c r="E36" t="str">
        <f t="shared" si="32"/>
        <v>3.514848416</v>
      </c>
      <c r="F36" t="str">
        <f t="shared" si="10"/>
        <v>4.106200315</v>
      </c>
      <c r="H36" s="4">
        <v>13.0</v>
      </c>
      <c r="I36">
        <v>87.0</v>
      </c>
      <c r="J36">
        <v>75.0</v>
      </c>
      <c r="K36" t="str">
        <f t="shared" ref="K36:L36" si="33">(I36/65)^4</f>
        <v>3.209398046</v>
      </c>
      <c r="L36" t="str">
        <f t="shared" si="33"/>
        <v>1.772521971</v>
      </c>
    </row>
    <row r="37" ht="14.25" customHeight="1">
      <c r="A37" s="4">
        <v>14.0</v>
      </c>
      <c r="B37">
        <v>84.0</v>
      </c>
      <c r="C37">
        <v>87.0</v>
      </c>
      <c r="D37" t="str">
        <f t="shared" ref="D37:E37" si="34">(B37/65)^4</f>
        <v>2.789097637</v>
      </c>
      <c r="E37" t="str">
        <f t="shared" si="34"/>
        <v>3.209398046</v>
      </c>
      <c r="F37" t="str">
        <f t="shared" si="10"/>
        <v>5.998495683</v>
      </c>
      <c r="H37" s="4">
        <v>14.0</v>
      </c>
      <c r="I37">
        <v>69.0</v>
      </c>
      <c r="J37">
        <v>106.0</v>
      </c>
      <c r="K37" t="str">
        <f t="shared" ref="K37:L37" si="35">(I37/65)^4</f>
        <v>1.269822261</v>
      </c>
      <c r="L37" t="str">
        <f t="shared" si="35"/>
        <v>7.072452421</v>
      </c>
    </row>
    <row r="38" ht="14.25" customHeight="1">
      <c r="A38" s="4">
        <v>15.0</v>
      </c>
      <c r="B38">
        <v>69.0</v>
      </c>
      <c r="C38">
        <v>81.0</v>
      </c>
      <c r="D38" t="str">
        <f t="shared" ref="D38:E38" si="36">(B38/65)^4</f>
        <v>1.269822261</v>
      </c>
      <c r="E38" t="str">
        <f t="shared" si="36"/>
        <v>2.411496572</v>
      </c>
      <c r="F38" t="str">
        <f t="shared" si="10"/>
        <v>3.681318833</v>
      </c>
      <c r="H38" s="4">
        <v>15.0</v>
      </c>
      <c r="I38">
        <v>84.0</v>
      </c>
      <c r="J38">
        <v>109.0</v>
      </c>
      <c r="K38" t="str">
        <f t="shared" ref="K38:L38" si="37">(I38/65)^4</f>
        <v>2.789097637</v>
      </c>
      <c r="L38" t="str">
        <f t="shared" si="37"/>
        <v>7.907743342</v>
      </c>
    </row>
    <row r="39" ht="14.25" customHeight="1">
      <c r="A39" s="4">
        <v>16.0</v>
      </c>
      <c r="B39">
        <v>87.0</v>
      </c>
      <c r="C39">
        <v>121.0</v>
      </c>
      <c r="D39" t="str">
        <f t="shared" ref="D39:E39" si="38">(B39/65)^4</f>
        <v>3.209398046</v>
      </c>
      <c r="E39" t="str">
        <f t="shared" si="38"/>
        <v>12.00848043</v>
      </c>
      <c r="F39" t="str">
        <f t="shared" si="10"/>
        <v>15.21787848</v>
      </c>
      <c r="H39" s="4">
        <v>16.0</v>
      </c>
      <c r="I39">
        <v>76.0</v>
      </c>
      <c r="J39">
        <v>101.0</v>
      </c>
      <c r="K39" t="str">
        <f t="shared" ref="K39:L39" si="39">(I39/65)^4</f>
        <v>1.868964028</v>
      </c>
      <c r="L39" t="str">
        <f t="shared" si="39"/>
        <v>5.829510227</v>
      </c>
    </row>
    <row r="40" ht="14.25" customHeight="1">
      <c r="A40" s="4">
        <v>17.0</v>
      </c>
      <c r="B40">
        <v>67.0</v>
      </c>
      <c r="C40">
        <v>107.0</v>
      </c>
      <c r="D40" t="str">
        <f t="shared" ref="D40:E40" si="40">(B40/65)^4</f>
        <v>1.128874815</v>
      </c>
      <c r="E40" t="str">
        <f t="shared" si="40"/>
        <v>7.343137901</v>
      </c>
      <c r="F40" t="str">
        <f t="shared" si="10"/>
        <v>8.472012717</v>
      </c>
      <c r="H40" s="4">
        <v>17.0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2">
    <mergeCell ref="A22:A23"/>
    <mergeCell ref="B22:C22"/>
    <mergeCell ref="H22:H23"/>
    <mergeCell ref="K22:M22"/>
    <mergeCell ref="I22:J22"/>
    <mergeCell ref="K2:M2"/>
    <mergeCell ref="D2:F2"/>
    <mergeCell ref="B2:C2"/>
    <mergeCell ref="I2:J2"/>
    <mergeCell ref="A2:A3"/>
    <mergeCell ref="H2:H3"/>
    <mergeCell ref="D22:F22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2026-08-05T09:36:48Z</dcterms:created>
  <dc:creator>SATYA PRATIM DASH</dc:creator>
  <cp:lastModifiedBy>SATYA PRATIM DASH</cp:lastModifiedBy>
  <dcterms:modified xsi:type="dcterms:W3CDTF">2026-08-11T07:14:15Z</dcterms:modified>
</cp:coreProperties>
</file>